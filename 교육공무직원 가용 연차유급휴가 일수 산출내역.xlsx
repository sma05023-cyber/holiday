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3A9DB7-EFEF-4042-974A-F5F2EA8930D2}" xr6:coauthVersionLast="47" xr6:coauthVersionMax="47" xr10:uidLastSave="{00000000-0000-0000-0000-000000000000}"/>
  <bookViews>
    <workbookView xWindow="28680" yWindow="-120" windowWidth="29040" windowHeight="15720" tabRatio="742" xr2:uid="{00000000-000D-0000-FFFF-FFFF00000000}"/>
  </bookViews>
  <sheets>
    <sheet name="연차유급휴가 일수 산출내역" sheetId="16" r:id="rId1"/>
    <sheet name="달력" sheetId="25" r:id="rId2"/>
    <sheet name="직종표" sheetId="12" state="hidden" r:id="rId3"/>
    <sheet name="참조" sheetId="4" state="hidden" r:id="rId4"/>
    <sheet name="근속수당" sheetId="22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1월">'[1]소정근로일(2019)'!$AE$5:$AE$26</definedName>
    <definedName name="_2월">'[1]소정근로일(2019)'!$AI$5:$AI$26</definedName>
    <definedName name="_8월">'[1]소정근로일(2019)'!$S$5:$S$26</definedName>
    <definedName name="_9월">'[1]소정근로일(2019)'!$W$5:$W$26</definedName>
    <definedName name="_xlnm._FilterDatabase" localSheetId="0" hidden="1">'연차유급휴가 일수 산출내역'!$A$5:$AI$5</definedName>
    <definedName name="_linkedcell" localSheetId="1">#REF!</definedName>
    <definedName name="_linkedcell" localSheetId="0">#REF!</definedName>
    <definedName name="_linkedcell">#REF!</definedName>
    <definedName name="p_1월">'[1]소정근로일(2018)'!$AE$5:$AE$26</definedName>
    <definedName name="p_2월">'[1]소정근로일(2018)'!$AI$5:$AI$26</definedName>
    <definedName name="p_8월">'[1]소정근로일(2018)'!$S$5:$S$26</definedName>
    <definedName name="p_9월">'[1]소정근로일(2018)'!$W$5:$W$26</definedName>
    <definedName name="p_공휴일_등">'[1]소정근로일(2018)'!$AR$2:$AR$26</definedName>
    <definedName name="p_요일">'[1]소정근로일(2018)'!$AS$2:$AS$26</definedName>
    <definedName name="Pay_Title">OFFSET([2]급여내역!$G$5,0,0,1,COUNTA([2]급여내역!$5:$5))</definedName>
    <definedName name="가나나나나나나나나나" localSheetId="1">#REF!</definedName>
    <definedName name="가나나나나나나나나나" localSheetId="0">#REF!</definedName>
    <definedName name="가나나나나나나나나나" localSheetId="2">#REF!</definedName>
    <definedName name="가나나나나나나나나나">#REF!</definedName>
    <definedName name="건강">[3]건강보험료!$A:$O</definedName>
    <definedName name="계" localSheetId="1">#REF!</definedName>
    <definedName name="계" localSheetId="0">'[4]2018복무'!#REF!</definedName>
    <definedName name="계">#REF!</definedName>
    <definedName name="고용">[3]고용보험료!$A:$O</definedName>
    <definedName name="공휴일_등">'[1]소정근로일(2019)'!$AR$2:$AR$26</definedName>
    <definedName name="국민">[3]국민연금!$A:$O</definedName>
    <definedName name="근무상황" localSheetId="1">#REF!</definedName>
    <definedName name="근무상황" localSheetId="0">'[4]2018복무'!$C:$C</definedName>
    <definedName name="근무상황">#REF!</definedName>
    <definedName name="근속">[3]근속가산금!$A:$N</definedName>
    <definedName name="근속변경일" localSheetId="1">[5]개발전용!#REF!</definedName>
    <definedName name="근속변경일" localSheetId="0">[5]개발전용!#REF!</definedName>
    <definedName name="근속변경일">[5]개발전용!#REF!</definedName>
    <definedName name="급별">[6]기초!$C$3:$C$12</definedName>
    <definedName name="급식">[3]급식비!$A:$N</definedName>
    <definedName name="기본">[3]기본급!$A:$N</definedName>
    <definedName name="기술">[3]기술정보수당!$A:$N</definedName>
    <definedName name="기타">[3]기타공제!$A:$N</definedName>
    <definedName name="ㅁㅇㄹ" localSheetId="1">[5]개발전용!#REF!</definedName>
    <definedName name="ㅁㅇㄹ" localSheetId="0">[5]개발전용!#REF!</definedName>
    <definedName name="ㅁㅇㄹ">[5]개발전용!#REF!</definedName>
    <definedName name="맞춤">[3]맞춤형복지비!$A:$N</definedName>
    <definedName name="명절">[3]명절휴가비!$A:$N</definedName>
    <definedName name="범위_전">'[1]소정근로일(2018)'!$M$7:$M$26,'[1]소정근로일(2018)'!$P$7:$Q$26,'[1]소정근로일(2018)'!$T$7:$U$26,'[1]소정근로일(2018)'!$X$7:$Y$26,'[1]소정근로일(2018)'!$AB$7:$AC$26,'[1]소정근로일(2018)'!$AF$7:$AG$26,'[1]소정근로일(2018)'!$AJ$7:$AJ$26</definedName>
    <definedName name="범위_후">'[1]소정근로일(2019)'!$M$7:$M$26,'[1]소정근로일(2019)'!$P$7:$Q$26,'[1]소정근로일(2019)'!$T$7:$U$26,'[1]소정근로일(2019)'!$X$7:$Y$26,'[1]소정근로일(2019)'!$AB$7:$AC$26,'[1]소정근로일(2019)'!$AF$7:$AG$26,'[1]소정근로일(2019)'!$AJ$7:$AJ$26</definedName>
    <definedName name="보육">[3]보육수당!$A:$N</definedName>
    <definedName name="분" localSheetId="1">#REF!</definedName>
    <definedName name="분" localSheetId="0">'[4]2018복무'!$I:$I</definedName>
    <definedName name="분">#REF!</definedName>
    <definedName name="사용연차" localSheetId="1">[1]연차수당내역!#REF!</definedName>
    <definedName name="사용연차" localSheetId="0">[1]연차수당내역!#REF!</definedName>
    <definedName name="사용연차" localSheetId="2">[1]연차수당내역!#REF!</definedName>
    <definedName name="사용연차">[1]연차수당내역!#REF!</definedName>
    <definedName name="설립별">[6]기초!$E$3:$E$5</definedName>
    <definedName name="성명" localSheetId="1">'[1]기초자료(통상임금)'!$D$7:$D$26</definedName>
    <definedName name="성명" localSheetId="0">'[4]2018복무'!$B:$B</definedName>
    <definedName name="성명" localSheetId="2">'[1]기초자료(통상임금)'!$D$7:$D$26</definedName>
    <definedName name="성명">#REF!</definedName>
    <definedName name="성별">[6]Sheet3!$H$6:$H$7</definedName>
    <definedName name="소득">[3]소득세!$A:$N</definedName>
    <definedName name="소속">[6]Sheet3!$I$2:$I$13</definedName>
    <definedName name="소정근로일">'[1]소정근로일(2019)'!$AP$7:$AP$26</definedName>
    <definedName name="시" localSheetId="1">#REF!</definedName>
    <definedName name="시" localSheetId="0">'[4]2018복무'!$H:$H</definedName>
    <definedName name="시">#REF!</definedName>
    <definedName name="시간" localSheetId="1">#REF!</definedName>
    <definedName name="시간" localSheetId="0">'[4]2018복무'!#REF!</definedName>
    <definedName name="시간">#REF!</definedName>
    <definedName name="여부">[6]Sheet3!$H$2:$H$3</definedName>
    <definedName name="연차">[3]연차수당!$A:$N</definedName>
    <definedName name="요일">'[1]소정근로일(2019)'!$AS$2:$AS$26</definedName>
    <definedName name="월" localSheetId="1">#REF!</definedName>
    <definedName name="월" localSheetId="0">#REF!</definedName>
    <definedName name="월">#REF!</definedName>
    <definedName name="이름" localSheetId="1">#REF!,#REF!,#REF!,#REF!,#REF!,#REF!,#REF!,#REF!,#REF!,#REF!,#REF!,#REF!</definedName>
    <definedName name="이름" localSheetId="0">#REF!,#REF!,#REF!,#REF!,#REF!,#REF!,#REF!,#REF!,#REF!,#REF!,#REF!,#REF!</definedName>
    <definedName name="이름">#REF!,#REF!,#REF!,#REF!,#REF!,#REF!,#REF!,#REF!,#REF!,#REF!,#REF!,#REF!</definedName>
    <definedName name="일" localSheetId="1">#REF!</definedName>
    <definedName name="일" localSheetId="0">'[4]2018복무'!$G:$G</definedName>
    <definedName name="일">#REF!</definedName>
    <definedName name="임금협약인상_연차수당" localSheetId="0">#REF!</definedName>
    <definedName name="임금협약인상_연차수당">#REF!</definedName>
    <definedName name="입력범위" localSheetId="1">달력!$C$12:$AG$12,달력!$C$15:$AG$15,달력!$C$18:$AF$18,달력!$C$21:$AG$21,달력!$C$24:$AG$24,달력!$C$27:$AE$27,달력!$C$30:$AG$30,달력!$C$33:$AF$33,달력!$C$36:$AG$36,달력!$C$39:$AG$39,달력!$C$42:$AF$42,달력!$C$45:$AG$45</definedName>
    <definedName name="입력범위" localSheetId="0">#REF!,#REF!,#REF!,#REF!,#REF!,#REF!,#REF!,#REF!,#REF!,#REF!,#REF!,#REF!</definedName>
    <definedName name="입력범위" localSheetId="2">'[1]달력(현)'!$C$8:$AG$8,'[1]달력(현)'!$C$11:$AG$11,'[1]달력(현)'!$C$14:$AG$14,'[1]달력(현)'!$C$17:$AG$17,'[1]달력(현)'!$C$20:$AG$20,'[1]달력(현)'!$C$23:$AG$23,'[1]달력(현)'!$C$26:$AG$26,'[1]달력(현)'!$C$29:$AG$29,'[1]달력(현)'!$C$32:$AG$32,'[1]달력(현)'!$C$35:$AG$35,'[1]달력(현)'!$C$38:$AG$38,'[1]달력(현)'!$C$41:$AG$41</definedName>
    <definedName name="입력범위">#REF!,#REF!,#REF!,#REF!,#REF!,#REF!,#REF!,#REF!,#REF!,#REF!,#REF!,#REF!</definedName>
    <definedName name="장기근무가산금직종" localSheetId="1">#REF!</definedName>
    <definedName name="장기근무가산금직종" localSheetId="0">#REF!</definedName>
    <definedName name="장기근무가산금직종" localSheetId="2">#REF!</definedName>
    <definedName name="장기근무가산금직종">#REF!</definedName>
    <definedName name="전년3월">'[1]소정근로일(2018)'!$AM$5:$AM$26</definedName>
    <definedName name="직명">OFFSET([5]기본사항!$B$7,0,0,COUNTA([5]기본사항!$B:$B),1)</definedName>
    <definedName name="직종">[5]개발전용!$L$2:$L$50</definedName>
    <definedName name="직종명" localSheetId="1">[7]직종표!$B$4:$B$46</definedName>
    <definedName name="직종명" localSheetId="2">[8]직종표!$B$4:$B$46</definedName>
    <definedName name="직종명">[9]직종표!$B$4:$B$49</definedName>
    <definedName name="직종번호" localSheetId="1">[7]직종표!$A$4:$A$46</definedName>
    <definedName name="직종번호">[8]직종표!$A$4:$A$46</definedName>
    <definedName name="직종표">#REF!</definedName>
    <definedName name="처우">[3]처우개선비!$A:$N</definedName>
    <definedName name="초과">[3]초과근무수당!$A:$N</definedName>
    <definedName name="총괄표">[3]총괄!$A:$CE</definedName>
    <definedName name="최저">[3]최저생계비!$A:$N</definedName>
    <definedName name="특수">[3]특수업무수당!$A:$N</definedName>
    <definedName name="학교회계직">[6]기초!$A$4:$A$53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47" i="25" l="1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4" i="22"/>
  <c r="B7" i="16"/>
  <c r="I7" i="16"/>
  <c r="M7" i="16"/>
  <c r="O7" i="16"/>
  <c r="S7" i="16" s="1"/>
  <c r="Q7" i="16"/>
  <c r="R7" i="16"/>
  <c r="W7" i="16"/>
  <c r="AA7" i="16"/>
  <c r="AB7" i="16" s="1"/>
  <c r="AC7" i="16" s="1"/>
  <c r="AE7" i="16" l="1"/>
  <c r="T7" i="16"/>
  <c r="U7" i="16" s="1"/>
  <c r="AF7" i="16" l="1"/>
  <c r="AG7" i="16" s="1"/>
  <c r="AH7" i="16" l="1"/>
  <c r="AI7" i="16"/>
  <c r="AJ42" i="25"/>
  <c r="AJ33" i="25"/>
  <c r="AI42" i="25"/>
  <c r="AI33" i="25"/>
  <c r="AI27" i="25"/>
  <c r="AI18" i="25"/>
  <c r="AJ18" i="25" s="1"/>
  <c r="C47" i="25"/>
  <c r="C46" i="25"/>
  <c r="AI24" i="25" l="1"/>
  <c r="AJ27" i="25"/>
  <c r="D46" i="25" l="1"/>
  <c r="E46" i="25"/>
  <c r="F46" i="25"/>
  <c r="G46" i="25"/>
  <c r="H46" i="25"/>
  <c r="I46" i="25"/>
  <c r="J46" i="25"/>
  <c r="K46" i="25"/>
  <c r="L46" i="25"/>
  <c r="M46" i="25"/>
  <c r="N46" i="25"/>
  <c r="O46" i="25"/>
  <c r="P46" i="25"/>
  <c r="Q46" i="25"/>
  <c r="R46" i="25"/>
  <c r="S46" i="25"/>
  <c r="T46" i="25"/>
  <c r="U46" i="25"/>
  <c r="V46" i="25"/>
  <c r="W46" i="25"/>
  <c r="X46" i="25"/>
  <c r="Y46" i="25"/>
  <c r="Z46" i="25"/>
  <c r="AA46" i="25"/>
  <c r="AB46" i="25"/>
  <c r="AC46" i="25"/>
  <c r="AD46" i="25"/>
  <c r="AE46" i="25"/>
  <c r="AF46" i="25"/>
  <c r="AG46" i="25"/>
  <c r="D47" i="25"/>
  <c r="E47" i="25"/>
  <c r="F47" i="25"/>
  <c r="G47" i="25"/>
  <c r="H47" i="25"/>
  <c r="I47" i="25"/>
  <c r="J47" i="25"/>
  <c r="K47" i="25"/>
  <c r="L47" i="25"/>
  <c r="M47" i="25"/>
  <c r="N47" i="25"/>
  <c r="O47" i="25"/>
  <c r="P47" i="25"/>
  <c r="Q47" i="25"/>
  <c r="R47" i="25"/>
  <c r="S47" i="25"/>
  <c r="T47" i="25"/>
  <c r="U47" i="25"/>
  <c r="V47" i="25"/>
  <c r="W47" i="25"/>
  <c r="X47" i="25"/>
  <c r="Y47" i="25"/>
  <c r="Z47" i="25"/>
  <c r="AA47" i="25"/>
  <c r="AB47" i="25"/>
  <c r="AC47" i="25"/>
  <c r="AD47" i="25"/>
  <c r="AE47" i="25"/>
  <c r="AF47" i="25"/>
  <c r="AG47" i="25"/>
  <c r="AI45" i="25" l="1"/>
  <c r="AI39" i="25"/>
  <c r="AJ39" i="25" s="1"/>
  <c r="AI36" i="25"/>
  <c r="AJ36" i="25" s="1"/>
  <c r="AI30" i="25"/>
  <c r="AJ24" i="25"/>
  <c r="AK24" i="25" s="1"/>
  <c r="AI21" i="25"/>
  <c r="AI15" i="25"/>
  <c r="AI12" i="25"/>
  <c r="AJ12" i="25" s="1"/>
  <c r="B10" i="25"/>
  <c r="C10" i="25" s="1"/>
  <c r="C11" i="25" s="1"/>
  <c r="AI9" i="25"/>
  <c r="AJ9" i="25" s="1"/>
  <c r="AI6" i="25"/>
  <c r="B4" i="25"/>
  <c r="C4" i="25" s="1"/>
  <c r="AI2" i="25"/>
  <c r="AI1" i="25"/>
  <c r="R6" i="16"/>
  <c r="C5" i="25" l="1"/>
  <c r="D4" i="25"/>
  <c r="D10" i="25"/>
  <c r="AJ45" i="25"/>
  <c r="AK45" i="25" s="1"/>
  <c r="AK42" i="25"/>
  <c r="AK36" i="25"/>
  <c r="AK27" i="25"/>
  <c r="AK9" i="25"/>
  <c r="AI46" i="25"/>
  <c r="AJ6" i="25"/>
  <c r="AK12" i="25"/>
  <c r="AJ15" i="25"/>
  <c r="B13" i="25"/>
  <c r="C13" i="25" s="1"/>
  <c r="C14" i="25" s="1"/>
  <c r="AJ30" i="25"/>
  <c r="AK30" i="25" s="1"/>
  <c r="AK18" i="25"/>
  <c r="B7" i="25"/>
  <c r="C7" i="25" s="1"/>
  <c r="C8" i="25" s="1"/>
  <c r="AJ21" i="25"/>
  <c r="AK21" i="25" s="1"/>
  <c r="AK39" i="25"/>
  <c r="AK33" i="25"/>
  <c r="AK47" i="25" l="1"/>
  <c r="D7" i="25"/>
  <c r="D11" i="25"/>
  <c r="E10" i="25"/>
  <c r="D13" i="25"/>
  <c r="E4" i="25"/>
  <c r="D5" i="25"/>
  <c r="AJ47" i="25"/>
  <c r="AK15" i="25"/>
  <c r="B16" i="25"/>
  <c r="C16" i="25" s="1"/>
  <c r="C17" i="25" s="1"/>
  <c r="AJ46" i="25"/>
  <c r="AK6" i="25"/>
  <c r="AK46" i="25" s="1"/>
  <c r="D16" i="25" l="1"/>
  <c r="F10" i="25"/>
  <c r="E11" i="25"/>
  <c r="E5" i="25"/>
  <c r="F4" i="25"/>
  <c r="D14" i="25"/>
  <c r="E13" i="25"/>
  <c r="E7" i="25"/>
  <c r="D8" i="25"/>
  <c r="B19" i="25"/>
  <c r="C19" i="25" s="1"/>
  <c r="C20" i="25" s="1"/>
  <c r="F7" i="25" l="1"/>
  <c r="E8" i="25"/>
  <c r="D19" i="25"/>
  <c r="G10" i="25"/>
  <c r="F11" i="25"/>
  <c r="E14" i="25"/>
  <c r="F13" i="25"/>
  <c r="F5" i="25"/>
  <c r="G4" i="25"/>
  <c r="D17" i="25"/>
  <c r="E16" i="25"/>
  <c r="B22" i="25"/>
  <c r="C22" i="25" s="1"/>
  <c r="C23" i="25" s="1"/>
  <c r="E17" i="25" l="1"/>
  <c r="F16" i="25"/>
  <c r="G13" i="25"/>
  <c r="F14" i="25"/>
  <c r="E19" i="25"/>
  <c r="D20" i="25"/>
  <c r="G5" i="25"/>
  <c r="H4" i="25"/>
  <c r="D22" i="25"/>
  <c r="H10" i="25"/>
  <c r="G11" i="25"/>
  <c r="F8" i="25"/>
  <c r="G7" i="25"/>
  <c r="B25" i="25"/>
  <c r="C25" i="25" s="1"/>
  <c r="C26" i="25" s="1"/>
  <c r="I4" i="25" l="1"/>
  <c r="H5" i="25"/>
  <c r="D25" i="25"/>
  <c r="H11" i="25"/>
  <c r="I10" i="25"/>
  <c r="H13" i="25"/>
  <c r="G14" i="25"/>
  <c r="F17" i="25"/>
  <c r="G16" i="25"/>
  <c r="G8" i="25"/>
  <c r="H7" i="25"/>
  <c r="D23" i="25"/>
  <c r="E22" i="25"/>
  <c r="F19" i="25"/>
  <c r="E20" i="25"/>
  <c r="B28" i="25"/>
  <c r="C28" i="25" s="1"/>
  <c r="C29" i="25" s="1"/>
  <c r="D28" i="25" l="1"/>
  <c r="H8" i="25"/>
  <c r="I7" i="25"/>
  <c r="H14" i="25"/>
  <c r="I13" i="25"/>
  <c r="D26" i="25"/>
  <c r="E25" i="25"/>
  <c r="F20" i="25"/>
  <c r="G19" i="25"/>
  <c r="E23" i="25"/>
  <c r="F22" i="25"/>
  <c r="G17" i="25"/>
  <c r="H16" i="25"/>
  <c r="I11" i="25"/>
  <c r="J10" i="25"/>
  <c r="I5" i="25"/>
  <c r="J4" i="25"/>
  <c r="B31" i="25"/>
  <c r="C31" i="25" s="1"/>
  <c r="C32" i="25" s="1"/>
  <c r="D31" i="25" l="1"/>
  <c r="J11" i="25"/>
  <c r="K10" i="25"/>
  <c r="F23" i="25"/>
  <c r="G22" i="25"/>
  <c r="E26" i="25"/>
  <c r="F25" i="25"/>
  <c r="J7" i="25"/>
  <c r="I8" i="25"/>
  <c r="J5" i="25"/>
  <c r="K4" i="25"/>
  <c r="H17" i="25"/>
  <c r="I16" i="25"/>
  <c r="G20" i="25"/>
  <c r="H19" i="25"/>
  <c r="J13" i="25"/>
  <c r="I14" i="25"/>
  <c r="D29" i="25"/>
  <c r="E28" i="25"/>
  <c r="B34" i="25"/>
  <c r="C34" i="25" s="1"/>
  <c r="C35" i="25" s="1"/>
  <c r="G25" i="25" l="1"/>
  <c r="F26" i="25"/>
  <c r="H20" i="25"/>
  <c r="I19" i="25"/>
  <c r="J16" i="25"/>
  <c r="I17" i="25"/>
  <c r="G23" i="25"/>
  <c r="H22" i="25"/>
  <c r="E31" i="25"/>
  <c r="D32" i="25"/>
  <c r="F28" i="25"/>
  <c r="E29" i="25"/>
  <c r="K5" i="25"/>
  <c r="L4" i="25"/>
  <c r="K11" i="25"/>
  <c r="L10" i="25"/>
  <c r="D34" i="25"/>
  <c r="K13" i="25"/>
  <c r="J14" i="25"/>
  <c r="K7" i="25"/>
  <c r="J8" i="25"/>
  <c r="B37" i="25"/>
  <c r="C37" i="25" s="1"/>
  <c r="L11" i="25" l="1"/>
  <c r="M10" i="25"/>
  <c r="H23" i="25"/>
  <c r="I22" i="25"/>
  <c r="C38" i="25"/>
  <c r="D37" i="25"/>
  <c r="K14" i="25"/>
  <c r="L13" i="25"/>
  <c r="J19" i="25"/>
  <c r="I20" i="25"/>
  <c r="F29" i="25"/>
  <c r="G28" i="25"/>
  <c r="L5" i="25"/>
  <c r="M4" i="25"/>
  <c r="L7" i="25"/>
  <c r="K8" i="25"/>
  <c r="E34" i="25"/>
  <c r="D35" i="25"/>
  <c r="F31" i="25"/>
  <c r="E32" i="25"/>
  <c r="K16" i="25"/>
  <c r="J17" i="25"/>
  <c r="G26" i="25"/>
  <c r="H25" i="25"/>
  <c r="B40" i="25"/>
  <c r="C40" i="25" s="1"/>
  <c r="AJ1" i="25"/>
  <c r="AK49" i="25" s="1"/>
  <c r="I25" i="25" l="1"/>
  <c r="H26" i="25"/>
  <c r="G31" i="25"/>
  <c r="F32" i="25"/>
  <c r="M7" i="25"/>
  <c r="L8" i="25"/>
  <c r="N4" i="25"/>
  <c r="M5" i="25"/>
  <c r="E37" i="25"/>
  <c r="D38" i="25"/>
  <c r="N10" i="25"/>
  <c r="M11" i="25"/>
  <c r="H28" i="25"/>
  <c r="G29" i="25"/>
  <c r="M13" i="25"/>
  <c r="L14" i="25"/>
  <c r="I23" i="25"/>
  <c r="J22" i="25"/>
  <c r="D40" i="25"/>
  <c r="C41" i="25"/>
  <c r="K17" i="25"/>
  <c r="L16" i="25"/>
  <c r="F34" i="25"/>
  <c r="E35" i="25"/>
  <c r="J20" i="25"/>
  <c r="K19" i="25"/>
  <c r="B43" i="25"/>
  <c r="G34" i="25" l="1"/>
  <c r="F35" i="25"/>
  <c r="D41" i="25"/>
  <c r="E40" i="25"/>
  <c r="N13" i="25"/>
  <c r="M14" i="25"/>
  <c r="O10" i="25"/>
  <c r="N11" i="25"/>
  <c r="N5" i="25"/>
  <c r="O4" i="25"/>
  <c r="G32" i="25"/>
  <c r="H31" i="25"/>
  <c r="L19" i="25"/>
  <c r="K20" i="25"/>
  <c r="L17" i="25"/>
  <c r="M16" i="25"/>
  <c r="K22" i="25"/>
  <c r="J23" i="25"/>
  <c r="C43" i="25"/>
  <c r="AE43" i="25"/>
  <c r="AE44" i="25" s="1"/>
  <c r="I28" i="25"/>
  <c r="H29" i="25"/>
  <c r="E38" i="25"/>
  <c r="F37" i="25"/>
  <c r="M8" i="25"/>
  <c r="N7" i="25"/>
  <c r="J25" i="25"/>
  <c r="I26" i="25"/>
  <c r="J26" i="25" l="1"/>
  <c r="K25" i="25"/>
  <c r="D43" i="25"/>
  <c r="C44" i="25"/>
  <c r="O11" i="25"/>
  <c r="P10" i="25"/>
  <c r="H32" i="25"/>
  <c r="I31" i="25"/>
  <c r="E41" i="25"/>
  <c r="F40" i="25"/>
  <c r="O5" i="25"/>
  <c r="P4" i="25"/>
  <c r="F38" i="25"/>
  <c r="G37" i="25"/>
  <c r="M17" i="25"/>
  <c r="N16" i="25"/>
  <c r="O7" i="25"/>
  <c r="N8" i="25"/>
  <c r="I29" i="25"/>
  <c r="J28" i="25"/>
  <c r="L22" i="25"/>
  <c r="K23" i="25"/>
  <c r="L20" i="25"/>
  <c r="M19" i="25"/>
  <c r="N14" i="25"/>
  <c r="O13" i="25"/>
  <c r="H34" i="25"/>
  <c r="G35" i="25"/>
  <c r="AJ2" i="25"/>
  <c r="AK50" i="25" s="1"/>
  <c r="X7" i="16" s="1"/>
  <c r="J29" i="25" l="1"/>
  <c r="K28" i="25"/>
  <c r="N17" i="25"/>
  <c r="O16" i="25"/>
  <c r="P5" i="25"/>
  <c r="Q4" i="25"/>
  <c r="I34" i="25"/>
  <c r="H35" i="25"/>
  <c r="E43" i="25"/>
  <c r="D44" i="25"/>
  <c r="O14" i="25"/>
  <c r="P13" i="25"/>
  <c r="G38" i="25"/>
  <c r="H37" i="25"/>
  <c r="F41" i="25"/>
  <c r="G40" i="25"/>
  <c r="P11" i="25"/>
  <c r="Q10" i="25"/>
  <c r="K26" i="25"/>
  <c r="L25" i="25"/>
  <c r="M20" i="25"/>
  <c r="N19" i="25"/>
  <c r="I32" i="25"/>
  <c r="J31" i="25"/>
  <c r="M22" i="25"/>
  <c r="L23" i="25"/>
  <c r="P7" i="25"/>
  <c r="O8" i="25"/>
  <c r="X8" i="16"/>
  <c r="X6" i="16"/>
  <c r="O17" i="25" l="1"/>
  <c r="P16" i="25"/>
  <c r="Q7" i="25"/>
  <c r="P8" i="25"/>
  <c r="J34" i="25"/>
  <c r="I35" i="25"/>
  <c r="N20" i="25"/>
  <c r="O19" i="25"/>
  <c r="Q11" i="25"/>
  <c r="R10" i="25"/>
  <c r="H38" i="25"/>
  <c r="I37" i="25"/>
  <c r="Q5" i="25"/>
  <c r="R4" i="25"/>
  <c r="L28" i="25"/>
  <c r="K29" i="25"/>
  <c r="J32" i="25"/>
  <c r="K31" i="25"/>
  <c r="M25" i="25"/>
  <c r="L26" i="25"/>
  <c r="G41" i="25"/>
  <c r="H40" i="25"/>
  <c r="Q13" i="25"/>
  <c r="P14" i="25"/>
  <c r="M23" i="25"/>
  <c r="N22" i="25"/>
  <c r="F43" i="25"/>
  <c r="E44" i="25"/>
  <c r="R8" i="16"/>
  <c r="I38" i="25" l="1"/>
  <c r="J37" i="25"/>
  <c r="P19" i="25"/>
  <c r="O20" i="25"/>
  <c r="Q14" i="25"/>
  <c r="R13" i="25"/>
  <c r="L29" i="25"/>
  <c r="M28" i="25"/>
  <c r="Q8" i="25"/>
  <c r="R7" i="25"/>
  <c r="F44" i="25"/>
  <c r="G43" i="25"/>
  <c r="M26" i="25"/>
  <c r="N25" i="25"/>
  <c r="N23" i="25"/>
  <c r="O22" i="25"/>
  <c r="I40" i="25"/>
  <c r="H41" i="25"/>
  <c r="K32" i="25"/>
  <c r="L31" i="25"/>
  <c r="R5" i="25"/>
  <c r="S4" i="25"/>
  <c r="R11" i="25"/>
  <c r="S10" i="25"/>
  <c r="P17" i="25"/>
  <c r="Q16" i="25"/>
  <c r="J35" i="25"/>
  <c r="K34" i="25"/>
  <c r="B8" i="16"/>
  <c r="B6" i="16"/>
  <c r="AA8" i="16"/>
  <c r="AB8" i="16" s="1"/>
  <c r="AC8" i="16" s="1"/>
  <c r="W8" i="16"/>
  <c r="Q8" i="16"/>
  <c r="O8" i="16"/>
  <c r="M8" i="16"/>
  <c r="I8" i="16"/>
  <c r="S11" i="25" l="1"/>
  <c r="T10" i="25"/>
  <c r="P20" i="25"/>
  <c r="Q19" i="25"/>
  <c r="K35" i="25"/>
  <c r="L34" i="25"/>
  <c r="L32" i="25"/>
  <c r="M31" i="25"/>
  <c r="O23" i="25"/>
  <c r="P22" i="25"/>
  <c r="H43" i="25"/>
  <c r="G44" i="25"/>
  <c r="M29" i="25"/>
  <c r="N28" i="25"/>
  <c r="R16" i="25"/>
  <c r="Q17" i="25"/>
  <c r="S5" i="25"/>
  <c r="T4" i="25"/>
  <c r="N26" i="25"/>
  <c r="O25" i="25"/>
  <c r="S7" i="25"/>
  <c r="R8" i="25"/>
  <c r="S13" i="25"/>
  <c r="R14" i="25"/>
  <c r="J38" i="25"/>
  <c r="K37" i="25"/>
  <c r="J40" i="25"/>
  <c r="I41" i="25"/>
  <c r="S8" i="16"/>
  <c r="AE8" i="16" s="1"/>
  <c r="AF8" i="16" s="1"/>
  <c r="O6" i="16"/>
  <c r="N31" i="25" l="1"/>
  <c r="M32" i="25"/>
  <c r="R19" i="25"/>
  <c r="Q20" i="25"/>
  <c r="I43" i="25"/>
  <c r="H44" i="25"/>
  <c r="J41" i="25"/>
  <c r="K40" i="25"/>
  <c r="T13" i="25"/>
  <c r="S14" i="25"/>
  <c r="R17" i="25"/>
  <c r="S16" i="25"/>
  <c r="L37" i="25"/>
  <c r="K38" i="25"/>
  <c r="T5" i="25"/>
  <c r="U4" i="25"/>
  <c r="O28" i="25"/>
  <c r="N29" i="25"/>
  <c r="Q22" i="25"/>
  <c r="P23" i="25"/>
  <c r="M34" i="25"/>
  <c r="L35" i="25"/>
  <c r="T11" i="25"/>
  <c r="U10" i="25"/>
  <c r="O26" i="25"/>
  <c r="P25" i="25"/>
  <c r="S8" i="25"/>
  <c r="T7" i="25"/>
  <c r="S6" i="16"/>
  <c r="AG8" i="16"/>
  <c r="AI8" i="16"/>
  <c r="AH8" i="16"/>
  <c r="T8" i="16"/>
  <c r="U8" i="16" s="1"/>
  <c r="T8" i="25" l="1"/>
  <c r="U7" i="25"/>
  <c r="U5" i="25"/>
  <c r="V4" i="25"/>
  <c r="Q23" i="25"/>
  <c r="R22" i="25"/>
  <c r="R20" i="25"/>
  <c r="S19" i="25"/>
  <c r="U11" i="25"/>
  <c r="V10" i="25"/>
  <c r="S17" i="25"/>
  <c r="T16" i="25"/>
  <c r="K41" i="25"/>
  <c r="L40" i="25"/>
  <c r="Q25" i="25"/>
  <c r="P26" i="25"/>
  <c r="N34" i="25"/>
  <c r="M35" i="25"/>
  <c r="P28" i="25"/>
  <c r="O29" i="25"/>
  <c r="L38" i="25"/>
  <c r="M37" i="25"/>
  <c r="T14" i="25"/>
  <c r="U13" i="25"/>
  <c r="J43" i="25"/>
  <c r="I44" i="25"/>
  <c r="N32" i="25"/>
  <c r="O31" i="25"/>
  <c r="K43" i="25" l="1"/>
  <c r="J44" i="25"/>
  <c r="O32" i="25"/>
  <c r="P31" i="25"/>
  <c r="V13" i="25"/>
  <c r="U14" i="25"/>
  <c r="U16" i="25"/>
  <c r="T17" i="25"/>
  <c r="S20" i="25"/>
  <c r="T19" i="25"/>
  <c r="V5" i="25"/>
  <c r="W4" i="25"/>
  <c r="Q28" i="25"/>
  <c r="P29" i="25"/>
  <c r="Q26" i="25"/>
  <c r="R25" i="25"/>
  <c r="M38" i="25"/>
  <c r="N37" i="25"/>
  <c r="L41" i="25"/>
  <c r="M40" i="25"/>
  <c r="V11" i="25"/>
  <c r="W10" i="25"/>
  <c r="R23" i="25"/>
  <c r="S22" i="25"/>
  <c r="V7" i="25"/>
  <c r="U8" i="25"/>
  <c r="O34" i="25"/>
  <c r="N35" i="25"/>
  <c r="S23" i="25" l="1"/>
  <c r="T22" i="25"/>
  <c r="M41" i="25"/>
  <c r="N40" i="25"/>
  <c r="R26" i="25"/>
  <c r="S25" i="25"/>
  <c r="X4" i="25"/>
  <c r="W5" i="25"/>
  <c r="P32" i="25"/>
  <c r="Q31" i="25"/>
  <c r="V16" i="25"/>
  <c r="U17" i="25"/>
  <c r="W11" i="25"/>
  <c r="X10" i="25"/>
  <c r="N38" i="25"/>
  <c r="O37" i="25"/>
  <c r="T20" i="25"/>
  <c r="U19" i="25"/>
  <c r="P34" i="25"/>
  <c r="O35" i="25"/>
  <c r="W7" i="25"/>
  <c r="V8" i="25"/>
  <c r="R28" i="25"/>
  <c r="Q29" i="25"/>
  <c r="V14" i="25"/>
  <c r="W13" i="25"/>
  <c r="L43" i="25"/>
  <c r="K44" i="25"/>
  <c r="Q6" i="16"/>
  <c r="M6" i="16"/>
  <c r="AA6" i="16"/>
  <c r="AB6" i="16" s="1"/>
  <c r="AC6" i="16" s="1"/>
  <c r="W6" i="16"/>
  <c r="I6" i="16"/>
  <c r="X7" i="25" l="1"/>
  <c r="W8" i="25"/>
  <c r="O40" i="25"/>
  <c r="N41" i="25"/>
  <c r="O38" i="25"/>
  <c r="P37" i="25"/>
  <c r="L44" i="25"/>
  <c r="M43" i="25"/>
  <c r="R29" i="25"/>
  <c r="S28" i="25"/>
  <c r="P35" i="25"/>
  <c r="Q34" i="25"/>
  <c r="V17" i="25"/>
  <c r="W16" i="25"/>
  <c r="X5" i="25"/>
  <c r="Y4" i="25"/>
  <c r="W14" i="25"/>
  <c r="X13" i="25"/>
  <c r="U20" i="25"/>
  <c r="V19" i="25"/>
  <c r="Y10" i="25"/>
  <c r="X11" i="25"/>
  <c r="Q32" i="25"/>
  <c r="R31" i="25"/>
  <c r="S26" i="25"/>
  <c r="T25" i="25"/>
  <c r="T23" i="25"/>
  <c r="U22" i="25"/>
  <c r="AE6" i="16"/>
  <c r="AF6" i="16" s="1"/>
  <c r="AH6" i="16" s="1"/>
  <c r="T6" i="16"/>
  <c r="U6" i="16" s="1"/>
  <c r="Z10" i="25" l="1"/>
  <c r="Y11" i="25"/>
  <c r="U23" i="25"/>
  <c r="V22" i="25"/>
  <c r="S31" i="25"/>
  <c r="R32" i="25"/>
  <c r="V20" i="25"/>
  <c r="W19" i="25"/>
  <c r="Y5" i="25"/>
  <c r="Z4" i="25"/>
  <c r="R34" i="25"/>
  <c r="Q35" i="25"/>
  <c r="M44" i="25"/>
  <c r="N43" i="25"/>
  <c r="O41" i="25"/>
  <c r="P40" i="25"/>
  <c r="U25" i="25"/>
  <c r="T26" i="25"/>
  <c r="Y13" i="25"/>
  <c r="X14" i="25"/>
  <c r="W17" i="25"/>
  <c r="X16" i="25"/>
  <c r="S29" i="25"/>
  <c r="T28" i="25"/>
  <c r="P38" i="25"/>
  <c r="Q37" i="25"/>
  <c r="X8" i="25"/>
  <c r="Y7" i="25"/>
  <c r="AG6" i="16"/>
  <c r="AI6" i="16"/>
  <c r="V25" i="25" l="1"/>
  <c r="U26" i="25"/>
  <c r="Y8" i="25"/>
  <c r="Z7" i="25"/>
  <c r="U28" i="25"/>
  <c r="T29" i="25"/>
  <c r="P41" i="25"/>
  <c r="Q40" i="25"/>
  <c r="X19" i="25"/>
  <c r="W20" i="25"/>
  <c r="W22" i="25"/>
  <c r="V23" i="25"/>
  <c r="Z13" i="25"/>
  <c r="Y14" i="25"/>
  <c r="S34" i="25"/>
  <c r="R35" i="25"/>
  <c r="R37" i="25"/>
  <c r="Q38" i="25"/>
  <c r="X17" i="25"/>
  <c r="Y16" i="25"/>
  <c r="O43" i="25"/>
  <c r="N44" i="25"/>
  <c r="AA4" i="25"/>
  <c r="Z5" i="25"/>
  <c r="S32" i="25"/>
  <c r="T31" i="25"/>
  <c r="Z11" i="25"/>
  <c r="AA10" i="25"/>
  <c r="AF5" i="16"/>
  <c r="AA11" i="25" l="1"/>
  <c r="AB10" i="25"/>
  <c r="Y17" i="25"/>
  <c r="Z16" i="25"/>
  <c r="R40" i="25"/>
  <c r="Q41" i="25"/>
  <c r="Z8" i="25"/>
  <c r="AA7" i="25"/>
  <c r="AA5" i="25"/>
  <c r="AB4" i="25"/>
  <c r="T34" i="25"/>
  <c r="S35" i="25"/>
  <c r="X22" i="25"/>
  <c r="W23" i="25"/>
  <c r="T32" i="25"/>
  <c r="U31" i="25"/>
  <c r="P43" i="25"/>
  <c r="O44" i="25"/>
  <c r="R38" i="25"/>
  <c r="S37" i="25"/>
  <c r="Z14" i="25"/>
  <c r="AA13" i="25"/>
  <c r="Y19" i="25"/>
  <c r="X20" i="25"/>
  <c r="V28" i="25"/>
  <c r="U29" i="25"/>
  <c r="V26" i="25"/>
  <c r="W25" i="25"/>
  <c r="W26" i="25" l="1"/>
  <c r="X25" i="25"/>
  <c r="S38" i="25"/>
  <c r="T37" i="25"/>
  <c r="V31" i="25"/>
  <c r="U32" i="25"/>
  <c r="AB7" i="25"/>
  <c r="AA8" i="25"/>
  <c r="Z17" i="25"/>
  <c r="AA16" i="25"/>
  <c r="U34" i="25"/>
  <c r="T35" i="25"/>
  <c r="Y20" i="25"/>
  <c r="Z19" i="25"/>
  <c r="AB13" i="25"/>
  <c r="AA14" i="25"/>
  <c r="AB5" i="25"/>
  <c r="AC4" i="25"/>
  <c r="AB11" i="25"/>
  <c r="AC10" i="25"/>
  <c r="V29" i="25"/>
  <c r="W28" i="25"/>
  <c r="Q43" i="25"/>
  <c r="P44" i="25"/>
  <c r="X23" i="25"/>
  <c r="Y22" i="25"/>
  <c r="R41" i="25"/>
  <c r="S40" i="25"/>
  <c r="T38" i="25" l="1"/>
  <c r="U37" i="25"/>
  <c r="AD10" i="25"/>
  <c r="AC11" i="25"/>
  <c r="AB14" i="25"/>
  <c r="AC13" i="25"/>
  <c r="V34" i="25"/>
  <c r="U35" i="25"/>
  <c r="AC7" i="25"/>
  <c r="AB8" i="25"/>
  <c r="S41" i="25"/>
  <c r="T40" i="25"/>
  <c r="Q44" i="25"/>
  <c r="R43" i="25"/>
  <c r="Y23" i="25"/>
  <c r="Z22" i="25"/>
  <c r="X28" i="25"/>
  <c r="W29" i="25"/>
  <c r="AD4" i="25"/>
  <c r="AC5" i="25"/>
  <c r="Z20" i="25"/>
  <c r="AA19" i="25"/>
  <c r="AB16" i="25"/>
  <c r="AA17" i="25"/>
  <c r="Y25" i="25"/>
  <c r="X26" i="25"/>
  <c r="V32" i="25"/>
  <c r="W31" i="25"/>
  <c r="AA22" i="25" l="1"/>
  <c r="Z23" i="25"/>
  <c r="T41" i="25"/>
  <c r="U40" i="25"/>
  <c r="AC16" i="25"/>
  <c r="AB17" i="25"/>
  <c r="AD5" i="25"/>
  <c r="AE4" i="25"/>
  <c r="V35" i="25"/>
  <c r="W34" i="25"/>
  <c r="AD11" i="25"/>
  <c r="AE10" i="25"/>
  <c r="W32" i="25"/>
  <c r="X31" i="25"/>
  <c r="AB19" i="25"/>
  <c r="AA20" i="25"/>
  <c r="R44" i="25"/>
  <c r="S43" i="25"/>
  <c r="AC14" i="25"/>
  <c r="AD13" i="25"/>
  <c r="U38" i="25"/>
  <c r="V37" i="25"/>
  <c r="Y26" i="25"/>
  <c r="Z25" i="25"/>
  <c r="X29" i="25"/>
  <c r="Y28" i="25"/>
  <c r="AD7" i="25"/>
  <c r="AC8" i="25"/>
  <c r="AD8" i="25" l="1"/>
  <c r="AE7" i="25"/>
  <c r="AE8" i="25" s="1"/>
  <c r="Z26" i="25"/>
  <c r="AA25" i="25"/>
  <c r="AE13" i="25"/>
  <c r="AD14" i="25"/>
  <c r="AF10" i="25"/>
  <c r="AE11" i="25"/>
  <c r="AE5" i="25"/>
  <c r="AF4" i="25"/>
  <c r="V40" i="25"/>
  <c r="U41" i="25"/>
  <c r="AB20" i="25"/>
  <c r="AC19" i="25"/>
  <c r="Y29" i="25"/>
  <c r="Z28" i="25"/>
  <c r="W37" i="25"/>
  <c r="V38" i="25"/>
  <c r="S44" i="25"/>
  <c r="T43" i="25"/>
  <c r="Y31" i="25"/>
  <c r="X32" i="25"/>
  <c r="X34" i="25"/>
  <c r="W35" i="25"/>
  <c r="AC17" i="25"/>
  <c r="AD16" i="25"/>
  <c r="AA23" i="25"/>
  <c r="AB22" i="25"/>
  <c r="AD19" i="25" l="1"/>
  <c r="AC20" i="25"/>
  <c r="AF5" i="25"/>
  <c r="AG4" i="25"/>
  <c r="AG5" i="25" s="1"/>
  <c r="Y32" i="25"/>
  <c r="Z31" i="25"/>
  <c r="W38" i="25"/>
  <c r="X37" i="25"/>
  <c r="AF13" i="25"/>
  <c r="AF14" i="25" s="1"/>
  <c r="AE14" i="25"/>
  <c r="AB23" i="25"/>
  <c r="AC22" i="25"/>
  <c r="U43" i="25"/>
  <c r="T44" i="25"/>
  <c r="AA28" i="25"/>
  <c r="Z29" i="25"/>
  <c r="AA26" i="25"/>
  <c r="AB25" i="25"/>
  <c r="AD17" i="25"/>
  <c r="AE16" i="25"/>
  <c r="Y34" i="25"/>
  <c r="X35" i="25"/>
  <c r="W40" i="25"/>
  <c r="V41" i="25"/>
  <c r="AF11" i="25"/>
  <c r="AG10" i="25"/>
  <c r="AG11" i="25" s="1"/>
  <c r="V43" i="25" l="1"/>
  <c r="U44" i="25"/>
  <c r="AE17" i="25"/>
  <c r="AF16" i="25"/>
  <c r="AD22" i="25"/>
  <c r="AC23" i="25"/>
  <c r="X38" i="25"/>
  <c r="Y37" i="25"/>
  <c r="X40" i="25"/>
  <c r="W41" i="25"/>
  <c r="AB28" i="25"/>
  <c r="AA29" i="25"/>
  <c r="AB26" i="25"/>
  <c r="AC25" i="25"/>
  <c r="Z32" i="25"/>
  <c r="AA31" i="25"/>
  <c r="Z34" i="25"/>
  <c r="Y35" i="25"/>
  <c r="AD20" i="25"/>
  <c r="AE19" i="25"/>
  <c r="AE20" i="25" l="1"/>
  <c r="AF19" i="25"/>
  <c r="AF20" i="25" s="1"/>
  <c r="AA32" i="25"/>
  <c r="AB31" i="25"/>
  <c r="Y38" i="25"/>
  <c r="Z37" i="25"/>
  <c r="AF17" i="25"/>
  <c r="AG16" i="25"/>
  <c r="AG17" i="25" s="1"/>
  <c r="AB29" i="25"/>
  <c r="AC28" i="25"/>
  <c r="AD25" i="25"/>
  <c r="AC26" i="25"/>
  <c r="AA34" i="25"/>
  <c r="Z35" i="25"/>
  <c r="X41" i="25"/>
  <c r="Y40" i="25"/>
  <c r="AD23" i="25"/>
  <c r="AE22" i="25"/>
  <c r="W43" i="25"/>
  <c r="V44" i="25"/>
  <c r="AB34" i="25" l="1"/>
  <c r="AA35" i="25"/>
  <c r="Y41" i="25"/>
  <c r="Z40" i="25"/>
  <c r="AB32" i="25"/>
  <c r="AC31" i="25"/>
  <c r="AD26" i="25"/>
  <c r="AE25" i="25"/>
  <c r="X43" i="25"/>
  <c r="W44" i="25"/>
  <c r="AE23" i="25"/>
  <c r="AF22" i="25"/>
  <c r="AD28" i="25"/>
  <c r="AC29" i="25"/>
  <c r="Z38" i="25"/>
  <c r="AA37" i="25"/>
  <c r="AC32" i="25" l="1"/>
  <c r="AD31" i="25"/>
  <c r="AD29" i="25"/>
  <c r="AE28" i="25"/>
  <c r="X44" i="25"/>
  <c r="Y43" i="25"/>
  <c r="AA38" i="25"/>
  <c r="AB37" i="25"/>
  <c r="AF23" i="25"/>
  <c r="AG22" i="25"/>
  <c r="AG23" i="25" s="1"/>
  <c r="AE26" i="25"/>
  <c r="AF25" i="25"/>
  <c r="AA40" i="25"/>
  <c r="Z41" i="25"/>
  <c r="AB35" i="25"/>
  <c r="AC34" i="25"/>
  <c r="AC35" i="25" l="1"/>
  <c r="AD34" i="25"/>
  <c r="AG25" i="25"/>
  <c r="AG26" i="25" s="1"/>
  <c r="AF26" i="25"/>
  <c r="AB38" i="25"/>
  <c r="AC37" i="25"/>
  <c r="AF28" i="25"/>
  <c r="AF29" i="25" s="1"/>
  <c r="AE29" i="25"/>
  <c r="AB40" i="25"/>
  <c r="AA41" i="25"/>
  <c r="Z43" i="25"/>
  <c r="Y44" i="25"/>
  <c r="AD32" i="25"/>
  <c r="AE31" i="25"/>
  <c r="AB41" i="25" l="1"/>
  <c r="AC40" i="25"/>
  <c r="AA43" i="25"/>
  <c r="Z44" i="25"/>
  <c r="AE32" i="25"/>
  <c r="AF31" i="25"/>
  <c r="AD37" i="25"/>
  <c r="AC38" i="25"/>
  <c r="AD35" i="25"/>
  <c r="AE34" i="25"/>
  <c r="AB43" i="25" l="1"/>
  <c r="AA44" i="25"/>
  <c r="AD38" i="25"/>
  <c r="AE37" i="25"/>
  <c r="AF34" i="25"/>
  <c r="AF35" i="25" s="1"/>
  <c r="AE35" i="25"/>
  <c r="AF32" i="25"/>
  <c r="AG31" i="25"/>
  <c r="AG32" i="25" s="1"/>
  <c r="AC41" i="25"/>
  <c r="AD40" i="25"/>
  <c r="AE38" i="25" l="1"/>
  <c r="AF37" i="25"/>
  <c r="AD41" i="25"/>
  <c r="AE40" i="25"/>
  <c r="AC43" i="25"/>
  <c r="AB44" i="25"/>
  <c r="AD43" i="25" l="1"/>
  <c r="AD44" i="25" s="1"/>
  <c r="AC44" i="25"/>
  <c r="AE41" i="25"/>
  <c r="AF40" i="25"/>
  <c r="AF38" i="25"/>
  <c r="AG37" i="25"/>
  <c r="AG38" i="25" s="1"/>
  <c r="AG40" i="25" l="1"/>
  <c r="AG41" i="25" s="1"/>
  <c r="AF41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master</author>
  </authors>
  <commentList>
    <comment ref="AF3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0.1~0.4=0.5</t>
        </r>
        <r>
          <rPr>
            <b/>
            <sz val="10"/>
            <color indexed="81"/>
            <rFont val="돋움"/>
            <family val="3"/>
            <charset val="129"/>
          </rPr>
          <t>일</t>
        </r>
        <r>
          <rPr>
            <b/>
            <sz val="10"/>
            <color indexed="81"/>
            <rFont val="Tahoma"/>
            <family val="2"/>
          </rPr>
          <t>/ 0.5=0.5</t>
        </r>
        <r>
          <rPr>
            <b/>
            <sz val="10"/>
            <color indexed="81"/>
            <rFont val="돋움"/>
            <family val="3"/>
            <charset val="129"/>
          </rPr>
          <t>일</t>
        </r>
        <r>
          <rPr>
            <b/>
            <sz val="10"/>
            <color indexed="81"/>
            <rFont val="Tahoma"/>
            <family val="2"/>
          </rPr>
          <t>/ 0.6</t>
        </r>
        <r>
          <rPr>
            <b/>
            <sz val="10"/>
            <color indexed="81"/>
            <rFont val="돋움"/>
            <family val="3"/>
            <charset val="129"/>
          </rPr>
          <t>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이상은</t>
        </r>
        <r>
          <rPr>
            <b/>
            <sz val="10"/>
            <color indexed="81"/>
            <rFont val="Tahoma"/>
            <family val="2"/>
          </rPr>
          <t xml:space="preserve"> 1</t>
        </r>
        <r>
          <rPr>
            <b/>
            <sz val="10"/>
            <color indexed="81"/>
            <rFont val="돋움"/>
            <family val="3"/>
            <charset val="129"/>
          </rPr>
          <t>일로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산출</t>
        </r>
      </text>
    </comment>
    <comment ref="K5" authorId="1" shapeId="0" xr:uid="{00000000-0006-0000-0000-000002000000}">
      <text>
        <r>
          <rPr>
            <b/>
            <sz val="14"/>
            <color indexed="10"/>
            <rFont val="맑은 고딕"/>
            <family val="3"/>
            <charset val="129"/>
          </rPr>
          <t>~2026.2.28.까지의 휴직기간만 작성</t>
        </r>
      </text>
    </comment>
    <comment ref="AD5" authorId="1" shapeId="0" xr:uid="{00000000-0006-0000-0000-000004000000}">
      <text>
        <r>
          <rPr>
            <b/>
            <sz val="10"/>
            <color indexed="10"/>
            <rFont val="맑은 고딕"/>
            <family val="3"/>
            <charset val="129"/>
          </rPr>
          <t>★출근율80% 미달성</t>
        </r>
        <r>
          <rPr>
            <b/>
            <sz val="10"/>
            <color indexed="81"/>
            <rFont val="돋움"/>
            <family val="3"/>
            <charset val="129"/>
          </rPr>
          <t xml:space="preserve">
경우에만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K3" authorId="0" shapeId="0" xr:uid="{44563659-2F8A-44AB-9FD1-E39349723F41}">
      <text>
        <r>
          <rPr>
            <sz val="9"/>
            <color indexed="81"/>
            <rFont val="돋움"/>
            <family val="3"/>
            <charset val="129"/>
          </rPr>
          <t>법령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약정휴일</t>
        </r>
        <r>
          <rPr>
            <sz val="9"/>
            <color indexed="81"/>
            <rFont val="Tahoma"/>
            <family val="2"/>
          </rPr>
          <t xml:space="preserve"> :
 - </t>
        </r>
        <r>
          <rPr>
            <sz val="9"/>
            <color indexed="81"/>
            <rFont val="돋움"/>
            <family val="3"/>
            <charset val="129"/>
          </rPr>
          <t xml:space="preserve">주휴일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명절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설연휴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추석연휴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근로자의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날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약정휴일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공휴일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토요일</t>
        </r>
      </text>
    </comment>
  </commentList>
</comments>
</file>

<file path=xl/sharedStrings.xml><?xml version="1.0" encoding="utf-8"?>
<sst xmlns="http://schemas.openxmlformats.org/spreadsheetml/2006/main" count="249" uniqueCount="116">
  <si>
    <t>순</t>
    <phoneticPr fontId="5" type="noConversion"/>
  </si>
  <si>
    <t>성  명</t>
    <phoneticPr fontId="5" type="noConversion"/>
  </si>
  <si>
    <t>근무형태</t>
    <phoneticPr fontId="5" type="noConversion"/>
  </si>
  <si>
    <t>발생일자</t>
    <phoneticPr fontId="5" type="noConversion"/>
  </si>
  <si>
    <t xml:space="preserve"> 경 력 산 정   및   발 생 일 수   산 정</t>
    <phoneticPr fontId="5" type="noConversion"/>
  </si>
  <si>
    <t>사용가능 연차일수 계산</t>
    <phoneticPr fontId="5" type="noConversion"/>
  </si>
  <si>
    <t>경력당 연차 발생일수</t>
    <phoneticPr fontId="5" type="noConversion"/>
  </si>
  <si>
    <t>㉡재직기간
제외휴직
총기간</t>
    <phoneticPr fontId="5" type="noConversion"/>
  </si>
  <si>
    <t>㉢현경력
(㉠-㉡)</t>
    <phoneticPr fontId="5" type="noConversion"/>
  </si>
  <si>
    <t>출근율80%
달성여부</t>
    <phoneticPr fontId="5" type="noConversion"/>
  </si>
  <si>
    <t>만근
개월수</t>
    <phoneticPr fontId="5" type="noConversion"/>
  </si>
  <si>
    <t>조리원</t>
    <phoneticPr fontId="3" type="noConversion"/>
  </si>
  <si>
    <t>근속
년수</t>
  </si>
  <si>
    <t>연차
일수</t>
  </si>
  <si>
    <t>전임
경력</t>
  </si>
  <si>
    <t>가산일수</t>
  </si>
  <si>
    <t>전임</t>
    <phoneticPr fontId="3" type="noConversion"/>
  </si>
  <si>
    <t>㉠발생일자
기준</t>
    <phoneticPr fontId="5" type="noConversion"/>
  </si>
  <si>
    <t>개인소정근로일수
(a)-(b)</t>
    <phoneticPr fontId="3" type="noConversion"/>
  </si>
  <si>
    <t>시</t>
    <phoneticPr fontId="3" type="noConversion"/>
  </si>
  <si>
    <t>분</t>
    <phoneticPr fontId="3" type="noConversion"/>
  </si>
  <si>
    <t>발생일기준
현경력
(연단위)</t>
    <phoneticPr fontId="5" type="noConversion"/>
  </si>
  <si>
    <t>전임경력
(연단위)</t>
    <phoneticPr fontId="5" type="noConversion"/>
  </si>
  <si>
    <t>일</t>
    <phoneticPr fontId="3" type="noConversion"/>
  </si>
  <si>
    <t>산정일수</t>
    <phoneticPr fontId="5" type="noConversion"/>
  </si>
  <si>
    <t>최종연차
발생일수</t>
    <phoneticPr fontId="5" type="noConversion"/>
  </si>
  <si>
    <t>초등돌봄전담사</t>
    <phoneticPr fontId="3" type="noConversion"/>
  </si>
  <si>
    <t>영양사</t>
    <phoneticPr fontId="3" type="noConversion"/>
  </si>
  <si>
    <t>방학중비근무</t>
    <phoneticPr fontId="3" type="noConversion"/>
  </si>
  <si>
    <t>상시전일근무자</t>
    <phoneticPr fontId="3" type="noConversion"/>
  </si>
  <si>
    <t>근무형태</t>
    <phoneticPr fontId="3" type="noConversion"/>
  </si>
  <si>
    <t xml:space="preserve"> 위기학생 상담 및 치유</t>
    <phoneticPr fontId="3" type="noConversion"/>
  </si>
  <si>
    <t>전문상담사</t>
    <phoneticPr fontId="3" type="noConversion"/>
  </si>
  <si>
    <t>행정실무원</t>
    <phoneticPr fontId="3" type="noConversion"/>
  </si>
  <si>
    <t>시각장애교사지원실무사</t>
    <phoneticPr fontId="3" type="noConversion"/>
  </si>
  <si>
    <t>학부모지원전문가</t>
    <phoneticPr fontId="3" type="noConversion"/>
  </si>
  <si>
    <t>방과후학교운영실무원</t>
    <phoneticPr fontId="3" type="noConversion"/>
  </si>
  <si>
    <t>임상심리사</t>
    <phoneticPr fontId="3" type="noConversion"/>
  </si>
  <si>
    <t>희망일자리(8)</t>
    <phoneticPr fontId="3" type="noConversion"/>
  </si>
  <si>
    <t>희망일자리(4)</t>
    <phoneticPr fontId="3" type="noConversion"/>
  </si>
  <si>
    <t>치료사</t>
    <phoneticPr fontId="3" type="noConversion"/>
  </si>
  <si>
    <t>교육복지사</t>
    <phoneticPr fontId="3" type="noConversion"/>
  </si>
  <si>
    <t>과학실험실무원</t>
    <phoneticPr fontId="3" type="noConversion"/>
  </si>
  <si>
    <t xml:space="preserve"> 시설물 유지 관리</t>
    <phoneticPr fontId="3" type="noConversion"/>
  </si>
  <si>
    <t>시설관리원</t>
    <phoneticPr fontId="3" type="noConversion"/>
  </si>
  <si>
    <t xml:space="preserve"> 학교급식 조리 및 배식(자격증 미소지자)</t>
    <phoneticPr fontId="3" type="noConversion"/>
  </si>
  <si>
    <t xml:space="preserve"> 학교급식 조리 및 배식(자격증 소지자)</t>
    <phoneticPr fontId="3" type="noConversion"/>
  </si>
  <si>
    <t>조리사</t>
    <phoneticPr fontId="3" type="noConversion"/>
  </si>
  <si>
    <t xml:space="preserve"> 학교급식을 위한 전반적인 업무</t>
    <phoneticPr fontId="3" type="noConversion"/>
  </si>
  <si>
    <t xml:space="preserve"> 중증장애학생의 학교 교육활동지원</t>
    <phoneticPr fontId="3" type="noConversion"/>
  </si>
  <si>
    <t>특수교육실무원</t>
    <phoneticPr fontId="3" type="noConversion"/>
  </si>
  <si>
    <t xml:space="preserve"> 초등 돌봄교실 프로그램 운영</t>
    <phoneticPr fontId="3" type="noConversion"/>
  </si>
  <si>
    <t>행정실무원(월급제)</t>
    <phoneticPr fontId="3" type="noConversion"/>
  </si>
  <si>
    <t xml:space="preserve"> 전산수업 지원 및 교육정보화 기기 유지 관리</t>
    <phoneticPr fontId="3" type="noConversion"/>
  </si>
  <si>
    <t>전산실무원</t>
    <phoneticPr fontId="3" type="noConversion"/>
  </si>
  <si>
    <t xml:space="preserve"> 교사의 교무·행정업무 지원</t>
    <phoneticPr fontId="3" type="noConversion"/>
  </si>
  <si>
    <t>교무행정사</t>
    <phoneticPr fontId="3" type="noConversion"/>
  </si>
  <si>
    <t xml:space="preserve"> 교수학습자료 제작, 수집, 보관 등의 교무 업무 수행</t>
    <phoneticPr fontId="3" type="noConversion"/>
  </si>
  <si>
    <t>교무행정실무원</t>
  </si>
  <si>
    <t>직종 설명</t>
    <phoneticPr fontId="3" type="noConversion"/>
  </si>
  <si>
    <t>직 종 명</t>
    <phoneticPr fontId="3" type="noConversion"/>
  </si>
  <si>
    <t>번호</t>
  </si>
  <si>
    <t>교육공무직원 직종표</t>
    <phoneticPr fontId="3" type="noConversion"/>
  </si>
  <si>
    <t>행정실무원(호봉제)</t>
    <phoneticPr fontId="3" type="noConversion"/>
  </si>
  <si>
    <t>직</t>
    <phoneticPr fontId="5" type="noConversion"/>
  </si>
  <si>
    <t>학교명</t>
    <phoneticPr fontId="3" type="noConversion"/>
  </si>
  <si>
    <t>결근으로
보는일수
(b)</t>
    <phoneticPr fontId="5" type="noConversion"/>
  </si>
  <si>
    <t>출근의무일수
(a)</t>
    <phoneticPr fontId="5" type="noConversion"/>
  </si>
  <si>
    <t xml:space="preserve">
발생일수
(①+②)
한도25일</t>
    <phoneticPr fontId="5" type="noConversion"/>
  </si>
  <si>
    <t>연차일수</t>
    <phoneticPr fontId="3" type="noConversion"/>
  </si>
  <si>
    <t>최  초
채용일</t>
    <phoneticPr fontId="5" type="noConversion"/>
  </si>
  <si>
    <t>기준시간
(시간)</t>
    <phoneticPr fontId="3" type="noConversion"/>
  </si>
  <si>
    <t>현경력가산</t>
    <phoneticPr fontId="3" type="noConversion"/>
  </si>
  <si>
    <t>전임경력 
가산일수</t>
    <phoneticPr fontId="5" type="noConversion"/>
  </si>
  <si>
    <t>ⓐ연차발생일수(경력제외)</t>
    <phoneticPr fontId="3" type="noConversion"/>
  </si>
  <si>
    <t>ⓑ현경력가산</t>
    <phoneticPr fontId="3" type="noConversion"/>
  </si>
  <si>
    <t xml:space="preserve">현경력
ⓐ+ⓑ </t>
    <phoneticPr fontId="3" type="noConversion"/>
  </si>
  <si>
    <t>학년도 달력</t>
    <phoneticPr fontId="3" type="noConversion"/>
  </si>
  <si>
    <t xml:space="preserve"> &lt;&lt;&lt; 행,열 삽입, 삭제 금지 &gt;&gt;&gt;</t>
    <phoneticPr fontId="3" type="noConversion"/>
  </si>
  <si>
    <t>(학교용)</t>
    <phoneticPr fontId="3" type="noConversion"/>
  </si>
  <si>
    <t>년.   월</t>
    <phoneticPr fontId="3" type="noConversion"/>
  </si>
  <si>
    <t>토,일요일</t>
    <phoneticPr fontId="3" type="noConversion"/>
  </si>
  <si>
    <t>공휴일등
(토,일제외)</t>
    <phoneticPr fontId="3" type="noConversion"/>
  </si>
  <si>
    <t>계</t>
    <phoneticPr fontId="3" type="noConversion"/>
  </si>
  <si>
    <t>토</t>
  </si>
  <si>
    <t>일</t>
  </si>
  <si>
    <t>삼일절</t>
  </si>
  <si>
    <t>근로자의날</t>
    <phoneticPr fontId="3" type="noConversion"/>
  </si>
  <si>
    <t>어린이날</t>
    <phoneticPr fontId="3" type="noConversion"/>
  </si>
  <si>
    <t>현충일</t>
  </si>
  <si>
    <t>광복절</t>
  </si>
  <si>
    <t>개천절</t>
    <phoneticPr fontId="3" type="noConversion"/>
  </si>
  <si>
    <t>한글날</t>
  </si>
  <si>
    <t>성탄절</t>
  </si>
  <si>
    <t>신정</t>
  </si>
  <si>
    <t>상시근무자 소정근로일(그외직종)</t>
    <phoneticPr fontId="3" type="noConversion"/>
  </si>
  <si>
    <t>일자기준</t>
    <phoneticPr fontId="3" type="noConversion"/>
  </si>
  <si>
    <t>소정
근로시간</t>
    <phoneticPr fontId="3" type="noConversion"/>
  </si>
  <si>
    <t>생년월일</t>
    <phoneticPr fontId="3" type="noConversion"/>
  </si>
  <si>
    <r>
      <rPr>
        <b/>
        <sz val="10"/>
        <color rgb="FFFF0000"/>
        <rFont val="맑은 고딕"/>
        <family val="3"/>
        <charset val="129"/>
        <scheme val="minor"/>
      </rPr>
      <t>상시근로자</t>
    </r>
    <r>
      <rPr>
        <b/>
        <sz val="10"/>
        <rFont val="맑은 고딕"/>
        <family val="3"/>
        <charset val="129"/>
        <scheme val="minor"/>
      </rPr>
      <t xml:space="preserve"> 소정근로일수</t>
    </r>
    <phoneticPr fontId="3" type="noConversion"/>
  </si>
  <si>
    <t>발생일자 기준 현경력기간 계산</t>
    <phoneticPr fontId="5" type="noConversion"/>
  </si>
  <si>
    <t>계(호봉제)</t>
    <phoneticPr fontId="3" type="noConversion"/>
  </si>
  <si>
    <t>계(그외직종)</t>
    <phoneticPr fontId="3" type="noConversion"/>
  </si>
  <si>
    <t>상시근무자 소정근로일(호봉제)</t>
    <phoneticPr fontId="3" type="noConversion"/>
  </si>
  <si>
    <t>[ 월별 공휴일(토,일, 양력공휴일) 자동 표시 ]</t>
    <phoneticPr fontId="3" type="noConversion"/>
  </si>
  <si>
    <t>신정</t>
    <phoneticPr fontId="3" type="noConversion"/>
  </si>
  <si>
    <t>설연휴</t>
    <phoneticPr fontId="3" type="noConversion"/>
  </si>
  <si>
    <t>설날</t>
    <phoneticPr fontId="3" type="noConversion"/>
  </si>
  <si>
    <t>대체휴일</t>
    <phoneticPr fontId="3" type="noConversion"/>
  </si>
  <si>
    <t>추석연휴</t>
    <phoneticPr fontId="3" type="noConversion"/>
  </si>
  <si>
    <t>추석</t>
    <phoneticPr fontId="3" type="noConversion"/>
  </si>
  <si>
    <t>임시공휴일</t>
    <phoneticPr fontId="3" type="noConversion"/>
  </si>
  <si>
    <t>대통령선거</t>
    <phoneticPr fontId="3" type="noConversion"/>
  </si>
  <si>
    <t>학년도 연차유급휴가 일수 산출 내역</t>
    <phoneticPr fontId="5" type="noConversion"/>
  </si>
  <si>
    <t>상시근무자</t>
  </si>
  <si>
    <t>학년도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</si>
</sst>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#,##0&quot;일&quot;"/>
    <numFmt numFmtId="177" formatCode="#,##0&quot;년&quot;"/>
    <numFmt numFmtId="178" formatCode="#,##0&quot;년차&quot;"/>
    <numFmt numFmtId="179" formatCode="0_ "/>
    <numFmt numFmtId="180" formatCode="#,##0.0&quot;일&quot;"/>
    <numFmt numFmtId="181" formatCode="00&quot;년&quot;"/>
    <numFmt numFmtId="182" formatCode="00&quot;일&quot;"/>
    <numFmt numFmtId="183" formatCode="0_);[Red]\(0\)"/>
    <numFmt numFmtId="184" formatCode="0&quot;%&quot;"/>
    <numFmt numFmtId="185" formatCode="_(* #,##0_);_(* \(#,##0\);_(* &quot;-&quot;_);_(@_)"/>
    <numFmt numFmtId="186" formatCode="00&quot;월&quot;"/>
    <numFmt numFmtId="187" formatCode="0&quot;시간&quot;"/>
    <numFmt numFmtId="188" formatCode="dd"/>
    <numFmt numFmtId="189" formatCode="yyyy&quot;.&quot;mm&quot;월&quot;"/>
    <numFmt numFmtId="190" formatCode="dd&quot;일&quot;"/>
    <numFmt numFmtId="191" formatCode="00&quot;시간&quot;"/>
  </numFmts>
  <fonts count="4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돋움"/>
      <family val="2"/>
      <charset val="129"/>
    </font>
    <font>
      <b/>
      <sz val="10"/>
      <color theme="0"/>
      <name val="돋움"/>
      <family val="3"/>
      <charset val="129"/>
    </font>
    <font>
      <sz val="10"/>
      <color theme="1"/>
      <name val="돋움"/>
      <family val="2"/>
      <charset val="129"/>
    </font>
    <font>
      <sz val="10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10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HY헤드라인M"/>
      <family val="1"/>
      <charset val="129"/>
    </font>
    <font>
      <b/>
      <sz val="12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4"/>
      <color theme="1" tint="0.34998626667073579"/>
      <name val="HY목각파임B"/>
      <family val="1"/>
      <charset val="129"/>
    </font>
    <font>
      <sz val="14"/>
      <color theme="1"/>
      <name val="HY목각파임B"/>
      <family val="1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theme="0" tint="-4.9989318521683403E-2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b/>
      <sz val="14"/>
      <color indexed="1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/>
        <bgColor indexed="64"/>
      </patternFill>
    </fill>
    <fill>
      <patternFill patternType="lightGrid">
        <fgColor theme="2" tint="-9.9948118533890809E-2"/>
        <bgColor rgb="FFFFFF00"/>
      </patternFill>
    </fill>
    <fill>
      <patternFill patternType="lightGrid">
        <fgColor theme="5" tint="0.79998168889431442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id">
        <fgColor theme="3" tint="0.79998168889431442"/>
        <bgColor indexed="65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85" fontId="15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2" fillId="3" borderId="1" xfId="2" applyFont="1" applyFill="1" applyBorder="1" applyAlignment="1">
      <alignment horizontal="center" vertical="center" wrapText="1"/>
    </xf>
    <xf numFmtId="0" fontId="13" fillId="4" borderId="1" xfId="2" applyFont="1" applyFill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2" fillId="3" borderId="4" xfId="2" applyFont="1" applyFill="1" applyBorder="1" applyAlignment="1">
      <alignment horizontal="center" vertical="center" wrapText="1"/>
    </xf>
    <xf numFmtId="0" fontId="12" fillId="3" borderId="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center" vertical="center"/>
    </xf>
    <xf numFmtId="0" fontId="13" fillId="0" borderId="7" xfId="2" applyFont="1" applyBorder="1" applyAlignment="1">
      <alignment horizontal="center" vertical="center"/>
    </xf>
    <xf numFmtId="0" fontId="14" fillId="4" borderId="6" xfId="2" applyFont="1" applyFill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Protection="1">
      <alignment vertical="center"/>
    </xf>
    <xf numFmtId="41" fontId="2" fillId="0" borderId="0" xfId="1" applyFont="1" applyFill="1" applyAlignment="1" applyProtection="1">
      <alignment vertical="center"/>
    </xf>
    <xf numFmtId="0" fontId="8" fillId="0" borderId="0" xfId="4" applyFont="1" applyFill="1" applyBorder="1" applyAlignment="1">
      <alignment horizontal="distributed" vertical="center"/>
    </xf>
    <xf numFmtId="0" fontId="16" fillId="0" borderId="0" xfId="4" applyFont="1" applyFill="1" applyBorder="1" applyAlignment="1">
      <alignment horizontal="distributed" vertical="center"/>
    </xf>
    <xf numFmtId="0" fontId="8" fillId="0" borderId="7" xfId="4" applyFont="1" applyBorder="1">
      <alignment vertical="center"/>
    </xf>
    <xf numFmtId="0" fontId="8" fillId="0" borderId="1" xfId="4" applyFont="1" applyFill="1" applyBorder="1" applyAlignment="1">
      <alignment horizontal="distributed" vertical="center"/>
    </xf>
    <xf numFmtId="0" fontId="8" fillId="0" borderId="6" xfId="4" applyFont="1" applyBorder="1" applyAlignment="1">
      <alignment horizontal="center" vertical="center"/>
    </xf>
    <xf numFmtId="0" fontId="6" fillId="0" borderId="1" xfId="4" applyFont="1" applyFill="1" applyBorder="1" applyAlignment="1">
      <alignment horizontal="distributed" vertical="center"/>
    </xf>
    <xf numFmtId="0" fontId="8" fillId="0" borderId="7" xfId="4" applyFont="1" applyBorder="1" applyAlignment="1">
      <alignment vertical="center" wrapText="1"/>
    </xf>
    <xf numFmtId="0" fontId="8" fillId="0" borderId="5" xfId="4" applyFont="1" applyBorder="1">
      <alignment vertical="center"/>
    </xf>
    <xf numFmtId="0" fontId="8" fillId="0" borderId="14" xfId="4" applyFont="1" applyFill="1" applyBorder="1" applyAlignment="1">
      <alignment horizontal="distributed" vertical="center"/>
    </xf>
    <xf numFmtId="0" fontId="8" fillId="0" borderId="4" xfId="4" applyFont="1" applyBorder="1" applyAlignment="1">
      <alignment horizontal="center" vertical="center"/>
    </xf>
    <xf numFmtId="0" fontId="8" fillId="6" borderId="15" xfId="4" applyFont="1" applyFill="1" applyBorder="1" applyAlignment="1">
      <alignment horizontal="center" vertical="center"/>
    </xf>
    <xf numFmtId="0" fontId="8" fillId="6" borderId="11" xfId="4" applyFont="1" applyFill="1" applyBorder="1" applyAlignment="1">
      <alignment horizontal="center" vertical="center"/>
    </xf>
    <xf numFmtId="0" fontId="8" fillId="6" borderId="10" xfId="4" applyFont="1" applyFill="1" applyBorder="1" applyAlignment="1">
      <alignment horizontal="center" vertical="center" wrapText="1"/>
    </xf>
    <xf numFmtId="0" fontId="6" fillId="0" borderId="0" xfId="1" applyNumberFormat="1" applyFont="1" applyFill="1" applyAlignment="1" applyProtection="1">
      <alignment horizontal="center" vertical="center"/>
    </xf>
    <xf numFmtId="176" fontId="10" fillId="0" borderId="0" xfId="1" applyNumberFormat="1" applyFont="1" applyFill="1" applyBorder="1" applyAlignment="1" applyProtection="1">
      <alignment horizontal="center" vertical="center"/>
    </xf>
    <xf numFmtId="0" fontId="10" fillId="0" borderId="0" xfId="1" applyNumberFormat="1" applyFont="1" applyFill="1" applyBorder="1" applyAlignment="1" applyProtection="1">
      <alignment horizontal="center" vertical="center"/>
    </xf>
    <xf numFmtId="0" fontId="22" fillId="0" borderId="0" xfId="1" applyNumberFormat="1" applyFont="1" applyFill="1" applyAlignment="1" applyProtection="1">
      <alignment horizontal="left" vertical="center"/>
    </xf>
    <xf numFmtId="0" fontId="23" fillId="0" borderId="0" xfId="1" applyNumberFormat="1" applyFont="1" applyFill="1" applyAlignment="1" applyProtection="1">
      <alignment horizontal="left" vertical="center"/>
    </xf>
    <xf numFmtId="183" fontId="28" fillId="2" borderId="0" xfId="0" applyNumberFormat="1" applyFont="1" applyFill="1" applyBorder="1">
      <alignment vertical="center"/>
    </xf>
    <xf numFmtId="0" fontId="29" fillId="0" borderId="0" xfId="0" applyFont="1">
      <alignment vertical="center"/>
    </xf>
    <xf numFmtId="0" fontId="26" fillId="0" borderId="0" xfId="0" applyFont="1">
      <alignment vertical="center"/>
    </xf>
    <xf numFmtId="0" fontId="30" fillId="0" borderId="0" xfId="0" applyFont="1">
      <alignment vertical="center"/>
    </xf>
    <xf numFmtId="0" fontId="8" fillId="0" borderId="0" xfId="0" applyFont="1">
      <alignment vertical="center"/>
    </xf>
    <xf numFmtId="0" fontId="31" fillId="0" borderId="0" xfId="0" applyFont="1" applyFill="1">
      <alignment vertical="center"/>
    </xf>
    <xf numFmtId="0" fontId="32" fillId="0" borderId="0" xfId="0" applyFont="1" applyFill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14" fontId="35" fillId="11" borderId="0" xfId="0" applyNumberFormat="1" applyFont="1" applyFill="1" applyAlignment="1">
      <alignment horizontal="center"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14" fontId="35" fillId="12" borderId="0" xfId="0" applyNumberFormat="1" applyFont="1" applyFill="1" applyAlignment="1">
      <alignment horizontal="center" vertical="center"/>
    </xf>
    <xf numFmtId="0" fontId="9" fillId="5" borderId="16" xfId="0" applyFont="1" applyFill="1" applyBorder="1" applyAlignment="1">
      <alignment horizontal="center" vertical="center" wrapText="1"/>
    </xf>
    <xf numFmtId="0" fontId="38" fillId="2" borderId="16" xfId="0" applyFont="1" applyFill="1" applyBorder="1" applyAlignment="1">
      <alignment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188" fontId="27" fillId="13" borderId="18" xfId="0" applyNumberFormat="1" applyFont="1" applyFill="1" applyBorder="1" applyAlignment="1">
      <alignment horizontal="center" vertical="center"/>
    </xf>
    <xf numFmtId="190" fontId="39" fillId="13" borderId="19" xfId="0" applyNumberFormat="1" applyFont="1" applyFill="1" applyBorder="1" applyAlignment="1">
      <alignment horizontal="center" vertical="center"/>
    </xf>
    <xf numFmtId="190" fontId="37" fillId="14" borderId="16" xfId="0" applyNumberFormat="1" applyFont="1" applyFill="1" applyBorder="1" applyAlignment="1">
      <alignment horizontal="center" vertical="center" wrapText="1"/>
    </xf>
    <xf numFmtId="190" fontId="37" fillId="15" borderId="16" xfId="0" applyNumberFormat="1" applyFont="1" applyFill="1" applyBorder="1" applyAlignment="1">
      <alignment horizontal="center" vertical="center"/>
    </xf>
    <xf numFmtId="190" fontId="37" fillId="14" borderId="16" xfId="0" applyNumberFormat="1" applyFont="1" applyFill="1" applyBorder="1" applyAlignment="1">
      <alignment horizontal="center" vertical="center"/>
    </xf>
    <xf numFmtId="188" fontId="27" fillId="10" borderId="18" xfId="0" applyNumberFormat="1" applyFont="1" applyFill="1" applyBorder="1" applyAlignment="1">
      <alignment horizontal="center" vertical="center"/>
    </xf>
    <xf numFmtId="190" fontId="39" fillId="10" borderId="19" xfId="0" applyNumberFormat="1" applyFont="1" applyFill="1" applyBorder="1" applyAlignment="1">
      <alignment horizontal="center" vertical="center"/>
    </xf>
    <xf numFmtId="190" fontId="27" fillId="10" borderId="19" xfId="0" applyNumberFormat="1" applyFont="1" applyFill="1" applyBorder="1" applyAlignment="1">
      <alignment horizontal="center" vertical="center"/>
    </xf>
    <xf numFmtId="190" fontId="37" fillId="7" borderId="16" xfId="0" applyNumberFormat="1" applyFont="1" applyFill="1" applyBorder="1" applyAlignment="1">
      <alignment horizontal="center" vertical="center"/>
    </xf>
    <xf numFmtId="190" fontId="27" fillId="13" borderId="19" xfId="0" applyNumberFormat="1" applyFont="1" applyFill="1" applyBorder="1" applyAlignment="1">
      <alignment horizontal="center" vertical="center"/>
    </xf>
    <xf numFmtId="0" fontId="38" fillId="16" borderId="1" xfId="0" applyFont="1" applyFill="1" applyBorder="1" applyAlignment="1">
      <alignment horizontal="center" vertical="center"/>
    </xf>
    <xf numFmtId="0" fontId="38" fillId="16" borderId="2" xfId="0" applyFont="1" applyFill="1" applyBorder="1" applyAlignment="1">
      <alignment horizontal="center" vertical="center"/>
    </xf>
    <xf numFmtId="0" fontId="38" fillId="16" borderId="21" xfId="0" applyFont="1" applyFill="1" applyBorder="1" applyAlignment="1">
      <alignment horizontal="center" vertical="center"/>
    </xf>
    <xf numFmtId="0" fontId="16" fillId="17" borderId="16" xfId="0" applyFont="1" applyFill="1" applyBorder="1" applyAlignment="1">
      <alignment horizontal="center" vertical="center"/>
    </xf>
    <xf numFmtId="0" fontId="40" fillId="0" borderId="16" xfId="0" applyFont="1" applyBorder="1">
      <alignment vertical="center"/>
    </xf>
    <xf numFmtId="0" fontId="26" fillId="0" borderId="16" xfId="0" applyFont="1" applyBorder="1">
      <alignment vertical="center"/>
    </xf>
    <xf numFmtId="183" fontId="41" fillId="2" borderId="16" xfId="3" applyNumberFormat="1" applyFont="1" applyFill="1" applyBorder="1">
      <alignment vertical="center"/>
    </xf>
    <xf numFmtId="0" fontId="4" fillId="0" borderId="0" xfId="0" applyFont="1" applyAlignment="1" applyProtection="1">
      <alignment vertical="center"/>
    </xf>
    <xf numFmtId="0" fontId="43" fillId="0" borderId="0" xfId="0" applyFont="1">
      <alignment vertical="center"/>
    </xf>
    <xf numFmtId="0" fontId="42" fillId="0" borderId="0" xfId="0" applyFont="1" applyFill="1" applyProtection="1">
      <alignment vertical="center"/>
    </xf>
    <xf numFmtId="0" fontId="7" fillId="9" borderId="30" xfId="1" applyNumberFormat="1" applyFont="1" applyFill="1" applyBorder="1" applyAlignment="1" applyProtection="1">
      <alignment horizontal="center" vertical="center" wrapText="1"/>
    </xf>
    <xf numFmtId="14" fontId="10" fillId="9" borderId="28" xfId="1" applyNumberFormat="1" applyFont="1" applyFill="1" applyBorder="1" applyAlignment="1" applyProtection="1">
      <alignment horizontal="center" vertical="center" wrapText="1"/>
    </xf>
    <xf numFmtId="178" fontId="6" fillId="2" borderId="32" xfId="1" applyNumberFormat="1" applyFont="1" applyFill="1" applyBorder="1" applyAlignment="1" applyProtection="1">
      <alignment horizontal="center" vertical="center" shrinkToFit="1"/>
    </xf>
    <xf numFmtId="176" fontId="6" fillId="2" borderId="32" xfId="1" applyNumberFormat="1" applyFont="1" applyFill="1" applyBorder="1" applyAlignment="1" applyProtection="1">
      <alignment horizontal="center" vertical="center" wrapText="1"/>
    </xf>
    <xf numFmtId="182" fontId="6" fillId="2" borderId="32" xfId="1" applyNumberFormat="1" applyFont="1" applyFill="1" applyBorder="1" applyAlignment="1" applyProtection="1">
      <alignment horizontal="center" vertical="center"/>
    </xf>
    <xf numFmtId="191" fontId="6" fillId="5" borderId="32" xfId="1" applyNumberFormat="1" applyFont="1" applyFill="1" applyBorder="1" applyAlignment="1" applyProtection="1">
      <alignment horizontal="center" vertical="center"/>
    </xf>
    <xf numFmtId="182" fontId="6" fillId="8" borderId="32" xfId="1" applyNumberFormat="1" applyFont="1" applyFill="1" applyBorder="1" applyAlignment="1" applyProtection="1">
      <alignment horizontal="center" vertical="center"/>
    </xf>
    <xf numFmtId="176" fontId="7" fillId="5" borderId="32" xfId="1" applyNumberFormat="1" applyFont="1" applyFill="1" applyBorder="1" applyAlignment="1" applyProtection="1">
      <alignment horizontal="center" vertical="center"/>
    </xf>
    <xf numFmtId="184" fontId="6" fillId="5" borderId="32" xfId="1" applyNumberFormat="1" applyFont="1" applyFill="1" applyBorder="1" applyAlignment="1" applyProtection="1">
      <alignment horizontal="center" vertical="center"/>
    </xf>
    <xf numFmtId="9" fontId="6" fillId="5" borderId="32" xfId="1" applyNumberFormat="1" applyFont="1" applyFill="1" applyBorder="1" applyAlignment="1" applyProtection="1">
      <alignment horizontal="center" vertical="center" shrinkToFit="1"/>
    </xf>
    <xf numFmtId="179" fontId="6" fillId="0" borderId="32" xfId="1" applyNumberFormat="1" applyFont="1" applyFill="1" applyBorder="1" applyAlignment="1" applyProtection="1">
      <alignment horizontal="center" vertical="center"/>
    </xf>
    <xf numFmtId="180" fontId="6" fillId="2" borderId="32" xfId="1" applyNumberFormat="1" applyFont="1" applyFill="1" applyBorder="1" applyAlignment="1" applyProtection="1">
      <alignment horizontal="center" vertical="center"/>
    </xf>
    <xf numFmtId="180" fontId="7" fillId="2" borderId="32" xfId="1" applyNumberFormat="1" applyFont="1" applyFill="1" applyBorder="1" applyAlignment="1" applyProtection="1">
      <alignment horizontal="center" vertical="center"/>
    </xf>
    <xf numFmtId="183" fontId="6" fillId="5" borderId="32" xfId="1" applyNumberFormat="1" applyFont="1" applyFill="1" applyBorder="1" applyAlignment="1" applyProtection="1">
      <alignment horizontal="center" vertical="center"/>
    </xf>
    <xf numFmtId="41" fontId="6" fillId="5" borderId="1" xfId="1" applyFont="1" applyFill="1" applyBorder="1" applyAlignment="1" applyProtection="1">
      <alignment horizontal="center" vertical="center" wrapText="1" shrinkToFit="1"/>
    </xf>
    <xf numFmtId="178" fontId="6" fillId="2" borderId="1" xfId="1" applyNumberFormat="1" applyFont="1" applyFill="1" applyBorder="1" applyAlignment="1" applyProtection="1">
      <alignment horizontal="center" vertical="center" shrinkToFit="1"/>
    </xf>
    <xf numFmtId="176" fontId="6" fillId="2" borderId="1" xfId="1" applyNumberFormat="1" applyFont="1" applyFill="1" applyBorder="1" applyAlignment="1" applyProtection="1">
      <alignment horizontal="center" vertical="center" wrapText="1"/>
    </xf>
    <xf numFmtId="182" fontId="6" fillId="2" borderId="1" xfId="1" applyNumberFormat="1" applyFont="1" applyFill="1" applyBorder="1" applyAlignment="1" applyProtection="1">
      <alignment horizontal="center" vertical="center"/>
    </xf>
    <xf numFmtId="191" fontId="6" fillId="5" borderId="1" xfId="1" applyNumberFormat="1" applyFont="1" applyFill="1" applyBorder="1" applyAlignment="1" applyProtection="1">
      <alignment horizontal="center" vertical="center"/>
    </xf>
    <xf numFmtId="182" fontId="6" fillId="8" borderId="1" xfId="1" applyNumberFormat="1" applyFont="1" applyFill="1" applyBorder="1" applyAlignment="1" applyProtection="1">
      <alignment horizontal="center" vertical="center"/>
    </xf>
    <xf numFmtId="176" fontId="7" fillId="5" borderId="1" xfId="1" applyNumberFormat="1" applyFont="1" applyFill="1" applyBorder="1" applyAlignment="1" applyProtection="1">
      <alignment horizontal="center" vertical="center"/>
    </xf>
    <xf numFmtId="184" fontId="6" fillId="5" borderId="1" xfId="1" applyNumberFormat="1" applyFont="1" applyFill="1" applyBorder="1" applyAlignment="1" applyProtection="1">
      <alignment horizontal="center" vertical="center"/>
    </xf>
    <xf numFmtId="9" fontId="6" fillId="5" borderId="1" xfId="1" applyNumberFormat="1" applyFont="1" applyFill="1" applyBorder="1" applyAlignment="1" applyProtection="1">
      <alignment horizontal="center" vertical="center" shrinkToFit="1"/>
    </xf>
    <xf numFmtId="179" fontId="6" fillId="0" borderId="1" xfId="1" applyNumberFormat="1" applyFont="1" applyFill="1" applyBorder="1" applyAlignment="1" applyProtection="1">
      <alignment horizontal="center" vertical="center"/>
    </xf>
    <xf numFmtId="180" fontId="6" fillId="2" borderId="1" xfId="1" applyNumberFormat="1" applyFont="1" applyFill="1" applyBorder="1" applyAlignment="1" applyProtection="1">
      <alignment horizontal="center" vertical="center"/>
    </xf>
    <xf numFmtId="180" fontId="7" fillId="2" borderId="1" xfId="1" applyNumberFormat="1" applyFont="1" applyFill="1" applyBorder="1" applyAlignment="1" applyProtection="1">
      <alignment horizontal="center" vertical="center"/>
    </xf>
    <xf numFmtId="183" fontId="6" fillId="5" borderId="1" xfId="1" applyNumberFormat="1" applyFont="1" applyFill="1" applyBorder="1" applyAlignment="1" applyProtection="1">
      <alignment horizontal="center" vertical="center"/>
    </xf>
    <xf numFmtId="176" fontId="6" fillId="18" borderId="32" xfId="1" applyNumberFormat="1" applyFont="1" applyFill="1" applyBorder="1" applyAlignment="1" applyProtection="1">
      <alignment horizontal="center" vertical="center" wrapText="1"/>
    </xf>
    <xf numFmtId="176" fontId="6" fillId="18" borderId="1" xfId="1" applyNumberFormat="1" applyFont="1" applyFill="1" applyBorder="1" applyAlignment="1" applyProtection="1">
      <alignment horizontal="center"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19" borderId="4" xfId="0" applyFill="1" applyBorder="1">
      <alignment vertical="center"/>
    </xf>
    <xf numFmtId="0" fontId="0" fillId="19" borderId="5" xfId="0" applyFill="1" applyBorder="1">
      <alignment vertical="center"/>
    </xf>
    <xf numFmtId="0" fontId="13" fillId="4" borderId="28" xfId="2" applyFont="1" applyFill="1" applyBorder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0" fillId="0" borderId="8" xfId="0" applyFill="1" applyBorder="1">
      <alignment vertical="center"/>
    </xf>
    <xf numFmtId="14" fontId="7" fillId="2" borderId="28" xfId="1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 applyProtection="1">
      <alignment vertical="center" wrapText="1"/>
    </xf>
    <xf numFmtId="0" fontId="7" fillId="9" borderId="28" xfId="1" applyNumberFormat="1" applyFont="1" applyFill="1" applyBorder="1" applyAlignment="1" applyProtection="1">
      <alignment horizontal="center" vertical="center" wrapText="1"/>
    </xf>
    <xf numFmtId="0" fontId="10" fillId="9" borderId="28" xfId="1" applyNumberFormat="1" applyFont="1" applyFill="1" applyBorder="1" applyAlignment="1" applyProtection="1">
      <alignment horizontal="center" vertical="center" wrapText="1"/>
    </xf>
    <xf numFmtId="0" fontId="10" fillId="9" borderId="28" xfId="1" applyNumberFormat="1" applyFont="1" applyFill="1" applyBorder="1" applyAlignment="1" applyProtection="1">
      <alignment horizontal="center" vertical="center"/>
    </xf>
    <xf numFmtId="0" fontId="46" fillId="0" borderId="0" xfId="1" applyNumberFormat="1" applyFont="1" applyFill="1" applyBorder="1" applyAlignment="1" applyProtection="1">
      <alignment horizontal="center" vertical="center"/>
    </xf>
    <xf numFmtId="0" fontId="45" fillId="0" borderId="0" xfId="0" applyFont="1" applyProtection="1">
      <alignment vertical="center"/>
    </xf>
    <xf numFmtId="14" fontId="10" fillId="9" borderId="34" xfId="1" applyNumberFormat="1" applyFont="1" applyFill="1" applyBorder="1" applyAlignment="1" applyProtection="1">
      <alignment horizontal="center" vertical="center" wrapText="1"/>
    </xf>
    <xf numFmtId="183" fontId="6" fillId="5" borderId="33" xfId="1" applyNumberFormat="1" applyFont="1" applyFill="1" applyBorder="1" applyAlignment="1" applyProtection="1">
      <alignment horizontal="center" vertical="center"/>
    </xf>
    <xf numFmtId="183" fontId="6" fillId="5" borderId="7" xfId="1" applyNumberFormat="1" applyFont="1" applyFill="1" applyBorder="1" applyAlignment="1" applyProtection="1">
      <alignment horizontal="center" vertical="center"/>
    </xf>
    <xf numFmtId="0" fontId="16" fillId="20" borderId="16" xfId="0" applyFont="1" applyFill="1" applyBorder="1" applyAlignment="1">
      <alignment horizontal="center" vertical="center"/>
    </xf>
    <xf numFmtId="190" fontId="48" fillId="13" borderId="19" xfId="0" applyNumberFormat="1" applyFont="1" applyFill="1" applyBorder="1" applyAlignment="1">
      <alignment horizontal="center" vertical="center"/>
    </xf>
    <xf numFmtId="190" fontId="47" fillId="13" borderId="19" xfId="0" applyNumberFormat="1" applyFont="1" applyFill="1" applyBorder="1" applyAlignment="1">
      <alignment horizontal="center" vertical="center"/>
    </xf>
    <xf numFmtId="190" fontId="47" fillId="10" borderId="19" xfId="0" applyNumberFormat="1" applyFont="1" applyFill="1" applyBorder="1" applyAlignment="1">
      <alignment horizontal="center" vertical="center"/>
    </xf>
    <xf numFmtId="190" fontId="48" fillId="10" borderId="19" xfId="0" applyNumberFormat="1" applyFont="1" applyFill="1" applyBorder="1" applyAlignment="1">
      <alignment horizontal="center" vertical="center"/>
    </xf>
    <xf numFmtId="190" fontId="37" fillId="0" borderId="16" xfId="0" applyNumberFormat="1" applyFont="1" applyBorder="1" applyAlignment="1">
      <alignment horizontal="center" vertical="center"/>
    </xf>
    <xf numFmtId="190" fontId="37" fillId="14" borderId="16" xfId="0" applyNumberFormat="1" applyFont="1" applyFill="1" applyBorder="1" applyAlignment="1">
      <alignment horizontal="center" vertical="center" shrinkToFit="1"/>
    </xf>
    <xf numFmtId="190" fontId="37" fillId="0" borderId="16" xfId="0" applyNumberFormat="1" applyFont="1" applyBorder="1" applyAlignment="1">
      <alignment horizontal="center" vertical="center" wrapText="1"/>
    </xf>
    <xf numFmtId="190" fontId="37" fillId="15" borderId="16" xfId="0" applyNumberFormat="1" applyFont="1" applyFill="1" applyBorder="1" applyAlignment="1">
      <alignment horizontal="center" vertical="center" wrapText="1"/>
    </xf>
    <xf numFmtId="190" fontId="26" fillId="0" borderId="16" xfId="0" applyNumberFormat="1" applyFont="1" applyBorder="1" applyAlignment="1">
      <alignment horizontal="center" vertical="center"/>
    </xf>
    <xf numFmtId="183" fontId="6" fillId="0" borderId="31" xfId="1" applyNumberFormat="1" applyFont="1" applyFill="1" applyBorder="1" applyAlignment="1" applyProtection="1">
      <alignment horizontal="center" vertical="center"/>
    </xf>
    <xf numFmtId="41" fontId="6" fillId="0" borderId="32" xfId="1" applyFont="1" applyFill="1" applyBorder="1" applyAlignment="1" applyProtection="1">
      <alignment horizontal="center" vertical="center"/>
    </xf>
    <xf numFmtId="41" fontId="6" fillId="0" borderId="32" xfId="1" applyFont="1" applyFill="1" applyBorder="1" applyAlignment="1" applyProtection="1">
      <alignment horizontal="center" vertical="center" wrapText="1" shrinkToFit="1"/>
    </xf>
    <xf numFmtId="41" fontId="6" fillId="0" borderId="32" xfId="1" applyFont="1" applyFill="1" applyBorder="1" applyAlignment="1" applyProtection="1">
      <alignment horizontal="center" vertical="center" shrinkToFit="1"/>
    </xf>
    <xf numFmtId="14" fontId="6" fillId="0" borderId="32" xfId="1" applyNumberFormat="1" applyFont="1" applyFill="1" applyBorder="1" applyAlignment="1" applyProtection="1">
      <alignment horizontal="center" vertical="center" shrinkToFit="1"/>
    </xf>
    <xf numFmtId="181" fontId="6" fillId="0" borderId="32" xfId="1" applyNumberFormat="1" applyFont="1" applyFill="1" applyBorder="1" applyAlignment="1" applyProtection="1">
      <alignment horizontal="center" vertical="center" shrinkToFit="1"/>
    </xf>
    <xf numFmtId="186" fontId="6" fillId="0" borderId="32" xfId="1" applyNumberFormat="1" applyFont="1" applyFill="1" applyBorder="1" applyAlignment="1" applyProtection="1">
      <alignment horizontal="center" vertical="center" shrinkToFit="1"/>
    </xf>
    <xf numFmtId="177" fontId="6" fillId="0" borderId="32" xfId="1" applyNumberFormat="1" applyFont="1" applyFill="1" applyBorder="1" applyAlignment="1" applyProtection="1">
      <alignment horizontal="center" vertical="center" shrinkToFit="1"/>
    </xf>
    <xf numFmtId="187" fontId="6" fillId="0" borderId="32" xfId="1" applyNumberFormat="1" applyFont="1" applyFill="1" applyBorder="1" applyAlignment="1" applyProtection="1">
      <alignment horizontal="center" vertical="center"/>
    </xf>
    <xf numFmtId="176" fontId="6" fillId="0" borderId="32" xfId="1" applyNumberFormat="1" applyFont="1" applyFill="1" applyBorder="1" applyAlignment="1" applyProtection="1">
      <alignment horizontal="center" vertical="center"/>
    </xf>
    <xf numFmtId="183" fontId="6" fillId="0" borderId="6" xfId="1" applyNumberFormat="1" applyFont="1" applyFill="1" applyBorder="1" applyAlignment="1" applyProtection="1">
      <alignment horizontal="center" vertical="center"/>
    </xf>
    <xf numFmtId="41" fontId="6" fillId="0" borderId="1" xfId="1" applyFont="1" applyFill="1" applyBorder="1" applyAlignment="1" applyProtection="1">
      <alignment horizontal="center" vertical="center"/>
    </xf>
    <xf numFmtId="41" fontId="6" fillId="0" borderId="1" xfId="1" applyFont="1" applyFill="1" applyBorder="1" applyAlignment="1" applyProtection="1">
      <alignment horizontal="center" vertical="center" wrapText="1" shrinkToFit="1"/>
    </xf>
    <xf numFmtId="41" fontId="6" fillId="0" borderId="1" xfId="1" applyFont="1" applyFill="1" applyBorder="1" applyAlignment="1" applyProtection="1">
      <alignment horizontal="center" vertical="center" shrinkToFit="1"/>
    </xf>
    <xf numFmtId="14" fontId="6" fillId="0" borderId="1" xfId="1" applyNumberFormat="1" applyFont="1" applyFill="1" applyBorder="1" applyAlignment="1" applyProtection="1">
      <alignment horizontal="center" vertical="center" shrinkToFit="1"/>
    </xf>
    <xf numFmtId="181" fontId="6" fillId="0" borderId="1" xfId="1" applyNumberFormat="1" applyFont="1" applyFill="1" applyBorder="1" applyAlignment="1" applyProtection="1">
      <alignment horizontal="center" vertical="center" shrinkToFit="1"/>
    </xf>
    <xf numFmtId="186" fontId="6" fillId="0" borderId="1" xfId="1" applyNumberFormat="1" applyFont="1" applyFill="1" applyBorder="1" applyAlignment="1" applyProtection="1">
      <alignment horizontal="center" vertical="center" shrinkToFit="1"/>
    </xf>
    <xf numFmtId="177" fontId="6" fillId="0" borderId="1" xfId="1" applyNumberFormat="1" applyFont="1" applyFill="1" applyBorder="1" applyAlignment="1" applyProtection="1">
      <alignment horizontal="center" vertical="center" shrinkToFit="1"/>
    </xf>
    <xf numFmtId="187" fontId="6" fillId="0" borderId="1" xfId="1" applyNumberFormat="1" applyFont="1" applyFill="1" applyBorder="1" applyAlignment="1" applyProtection="1">
      <alignment horizontal="center" vertical="center"/>
    </xf>
    <xf numFmtId="176" fontId="6" fillId="0" borderId="1" xfId="1" applyNumberFormat="1" applyFont="1" applyFill="1" applyBorder="1" applyAlignment="1" applyProtection="1">
      <alignment horizontal="center" vertical="center"/>
    </xf>
    <xf numFmtId="0" fontId="10" fillId="9" borderId="4" xfId="1" applyNumberFormat="1" applyFont="1" applyFill="1" applyBorder="1" applyAlignment="1" applyProtection="1">
      <alignment horizontal="center" vertical="center"/>
    </xf>
    <xf numFmtId="0" fontId="10" fillId="9" borderId="6" xfId="1" applyNumberFormat="1" applyFont="1" applyFill="1" applyBorder="1" applyAlignment="1" applyProtection="1">
      <alignment horizontal="center" vertical="center"/>
    </xf>
    <xf numFmtId="0" fontId="10" fillId="9" borderId="27" xfId="1" applyNumberFormat="1" applyFont="1" applyFill="1" applyBorder="1" applyAlignment="1" applyProtection="1">
      <alignment horizontal="center" vertical="center"/>
    </xf>
    <xf numFmtId="0" fontId="10" fillId="9" borderId="14" xfId="1" applyNumberFormat="1" applyFont="1" applyFill="1" applyBorder="1" applyAlignment="1" applyProtection="1">
      <alignment horizontal="center" vertical="center" wrapText="1"/>
    </xf>
    <xf numFmtId="0" fontId="10" fillId="9" borderId="1" xfId="1" applyNumberFormat="1" applyFont="1" applyFill="1" applyBorder="1" applyAlignment="1" applyProtection="1">
      <alignment horizontal="center" vertical="center" wrapText="1"/>
    </xf>
    <xf numFmtId="0" fontId="10" fillId="9" borderId="28" xfId="1" applyNumberFormat="1" applyFont="1" applyFill="1" applyBorder="1" applyAlignment="1" applyProtection="1">
      <alignment horizontal="center" vertical="center" wrapText="1"/>
    </xf>
    <xf numFmtId="0" fontId="10" fillId="9" borderId="14" xfId="1" applyNumberFormat="1" applyFont="1" applyFill="1" applyBorder="1" applyAlignment="1" applyProtection="1">
      <alignment horizontal="center" vertical="center"/>
    </xf>
    <xf numFmtId="0" fontId="10" fillId="9" borderId="1" xfId="1" applyNumberFormat="1" applyFont="1" applyFill="1" applyBorder="1" applyAlignment="1" applyProtection="1">
      <alignment horizontal="center" vertical="center"/>
    </xf>
    <xf numFmtId="0" fontId="10" fillId="9" borderId="28" xfId="1" applyNumberFormat="1" applyFont="1" applyFill="1" applyBorder="1" applyAlignment="1" applyProtection="1">
      <alignment horizontal="center" vertical="center"/>
    </xf>
    <xf numFmtId="0" fontId="10" fillId="9" borderId="11" xfId="1" applyNumberFormat="1" applyFont="1" applyFill="1" applyBorder="1" applyAlignment="1" applyProtection="1">
      <alignment horizontal="center" vertical="center"/>
    </xf>
    <xf numFmtId="0" fontId="10" fillId="9" borderId="24" xfId="1" applyNumberFormat="1" applyFont="1" applyFill="1" applyBorder="1" applyAlignment="1" applyProtection="1">
      <alignment horizontal="center" vertical="center"/>
    </xf>
    <xf numFmtId="0" fontId="10" fillId="9" borderId="35" xfId="1" applyNumberFormat="1" applyFont="1" applyFill="1" applyBorder="1" applyAlignment="1" applyProtection="1">
      <alignment horizontal="center" vertical="center"/>
    </xf>
    <xf numFmtId="181" fontId="6" fillId="2" borderId="2" xfId="1" applyNumberFormat="1" applyFont="1" applyFill="1" applyBorder="1" applyAlignment="1" applyProtection="1">
      <alignment horizontal="center" vertical="center" shrinkToFit="1"/>
    </xf>
    <xf numFmtId="181" fontId="6" fillId="2" borderId="3" xfId="1" applyNumberFormat="1" applyFont="1" applyFill="1" applyBorder="1" applyAlignment="1" applyProtection="1">
      <alignment horizontal="center" vertical="center" shrinkToFit="1"/>
    </xf>
    <xf numFmtId="0" fontId="7" fillId="9" borderId="28" xfId="1" applyNumberFormat="1" applyFont="1" applyFill="1" applyBorder="1" applyAlignment="1" applyProtection="1">
      <alignment horizontal="center" vertical="center" wrapText="1"/>
    </xf>
    <xf numFmtId="14" fontId="10" fillId="9" borderId="25" xfId="1" applyNumberFormat="1" applyFont="1" applyFill="1" applyBorder="1" applyAlignment="1" applyProtection="1">
      <alignment horizontal="center" vertical="center" wrapText="1"/>
    </xf>
    <xf numFmtId="14" fontId="10" fillId="9" borderId="26" xfId="1" applyNumberFormat="1" applyFont="1" applyFill="1" applyBorder="1" applyAlignment="1" applyProtection="1">
      <alignment horizontal="center" vertical="center" wrapText="1"/>
    </xf>
    <xf numFmtId="181" fontId="6" fillId="2" borderId="1" xfId="1" applyNumberFormat="1" applyFont="1" applyFill="1" applyBorder="1" applyAlignment="1" applyProtection="1">
      <alignment horizontal="center" vertical="center" shrinkToFit="1"/>
    </xf>
    <xf numFmtId="0" fontId="6" fillId="2" borderId="1" xfId="1" applyNumberFormat="1" applyFont="1" applyFill="1" applyBorder="1" applyAlignment="1" applyProtection="1">
      <alignment horizontal="center" vertical="center" shrinkToFit="1"/>
    </xf>
    <xf numFmtId="0" fontId="10" fillId="9" borderId="36" xfId="1" applyNumberFormat="1" applyFont="1" applyFill="1" applyBorder="1" applyAlignment="1" applyProtection="1">
      <alignment horizontal="center" vertical="center" wrapText="1"/>
    </xf>
    <xf numFmtId="0" fontId="10" fillId="9" borderId="37" xfId="1" applyNumberFormat="1" applyFont="1" applyFill="1" applyBorder="1" applyAlignment="1" applyProtection="1">
      <alignment horizontal="center" vertical="center" wrapText="1"/>
    </xf>
    <xf numFmtId="14" fontId="10" fillId="9" borderId="12" xfId="1" applyNumberFormat="1" applyFont="1" applyFill="1" applyBorder="1" applyAlignment="1" applyProtection="1">
      <alignment horizontal="center" vertical="center" wrapText="1"/>
    </xf>
    <xf numFmtId="14" fontId="10" fillId="9" borderId="38" xfId="1" applyNumberFormat="1" applyFont="1" applyFill="1" applyBorder="1" applyAlignment="1" applyProtection="1">
      <alignment horizontal="center" vertical="center" wrapText="1"/>
    </xf>
    <xf numFmtId="181" fontId="6" fillId="2" borderId="32" xfId="1" applyNumberFormat="1" applyFont="1" applyFill="1" applyBorder="1" applyAlignment="1" applyProtection="1">
      <alignment horizontal="center" vertical="center" shrinkToFit="1"/>
    </xf>
    <xf numFmtId="0" fontId="10" fillId="9" borderId="22" xfId="1" applyNumberFormat="1" applyFont="1" applyFill="1" applyBorder="1" applyAlignment="1" applyProtection="1">
      <alignment horizontal="center" vertical="center" wrapText="1"/>
    </xf>
    <xf numFmtId="0" fontId="6" fillId="2" borderId="32" xfId="1" applyNumberFormat="1" applyFont="1" applyFill="1" applyBorder="1" applyAlignment="1" applyProtection="1">
      <alignment horizontal="center" vertical="center" shrinkToFit="1"/>
    </xf>
    <xf numFmtId="14" fontId="10" fillId="9" borderId="13" xfId="1" applyNumberFormat="1" applyFont="1" applyFill="1" applyBorder="1" applyAlignment="1" applyProtection="1">
      <alignment horizontal="center" vertical="center" wrapText="1"/>
    </xf>
    <xf numFmtId="0" fontId="7" fillId="9" borderId="11" xfId="1" applyNumberFormat="1" applyFont="1" applyFill="1" applyBorder="1" applyAlignment="1" applyProtection="1">
      <alignment horizontal="center" vertical="center" wrapText="1"/>
    </xf>
    <xf numFmtId="0" fontId="7" fillId="9" borderId="24" xfId="1" applyNumberFormat="1" applyFont="1" applyFill="1" applyBorder="1" applyAlignment="1" applyProtection="1">
      <alignment horizontal="center" vertical="center" wrapText="1"/>
    </xf>
    <xf numFmtId="14" fontId="10" fillId="9" borderId="14" xfId="1" applyNumberFormat="1" applyFont="1" applyFill="1" applyBorder="1" applyAlignment="1" applyProtection="1">
      <alignment horizontal="center" vertical="center" wrapText="1"/>
    </xf>
    <xf numFmtId="14" fontId="10" fillId="9" borderId="5" xfId="1" applyNumberFormat="1" applyFont="1" applyFill="1" applyBorder="1" applyAlignment="1" applyProtection="1">
      <alignment horizontal="center" vertical="center" wrapText="1"/>
    </xf>
    <xf numFmtId="14" fontId="10" fillId="9" borderId="1" xfId="1" applyNumberFormat="1" applyFont="1" applyFill="1" applyBorder="1" applyAlignment="1" applyProtection="1">
      <alignment horizontal="center" vertical="center" wrapText="1"/>
    </xf>
    <xf numFmtId="14" fontId="10" fillId="9" borderId="7" xfId="1" applyNumberFormat="1" applyFont="1" applyFill="1" applyBorder="1" applyAlignment="1" applyProtection="1">
      <alignment horizontal="center" vertical="center" wrapText="1"/>
    </xf>
    <xf numFmtId="0" fontId="10" fillId="9" borderId="12" xfId="1" applyNumberFormat="1" applyFont="1" applyFill="1" applyBorder="1" applyAlignment="1" applyProtection="1">
      <alignment horizontal="center" vertical="center" wrapText="1"/>
    </xf>
    <xf numFmtId="0" fontId="10" fillId="9" borderId="13" xfId="1" applyNumberFormat="1" applyFont="1" applyFill="1" applyBorder="1" applyAlignment="1" applyProtection="1">
      <alignment horizontal="center" vertical="center" wrapText="1"/>
    </xf>
    <xf numFmtId="0" fontId="10" fillId="9" borderId="23" xfId="1" applyNumberFormat="1" applyFont="1" applyFill="1" applyBorder="1" applyAlignment="1" applyProtection="1">
      <alignment horizontal="center" vertical="center" wrapText="1"/>
    </xf>
    <xf numFmtId="0" fontId="10" fillId="9" borderId="3" xfId="1" applyNumberFormat="1" applyFont="1" applyFill="1" applyBorder="1" applyAlignment="1" applyProtection="1">
      <alignment horizontal="center" vertical="center" wrapText="1"/>
    </xf>
    <xf numFmtId="0" fontId="9" fillId="9" borderId="28" xfId="1" applyNumberFormat="1" applyFont="1" applyFill="1" applyBorder="1" applyAlignment="1" applyProtection="1">
      <alignment horizontal="center" vertical="center" wrapText="1"/>
    </xf>
    <xf numFmtId="14" fontId="10" fillId="2" borderId="14" xfId="1" applyNumberFormat="1" applyFont="1" applyFill="1" applyBorder="1" applyAlignment="1" applyProtection="1">
      <alignment horizontal="center" vertical="center" wrapText="1"/>
    </xf>
    <xf numFmtId="14" fontId="10" fillId="2" borderId="1" xfId="1" applyNumberFormat="1" applyFont="1" applyFill="1" applyBorder="1" applyAlignment="1" applyProtection="1">
      <alignment horizontal="center" vertical="center" wrapText="1"/>
    </xf>
    <xf numFmtId="0" fontId="10" fillId="9" borderId="29" xfId="1" applyNumberFormat="1" applyFont="1" applyFill="1" applyBorder="1" applyAlignment="1" applyProtection="1">
      <alignment horizontal="center" vertical="center" wrapText="1"/>
    </xf>
    <xf numFmtId="0" fontId="10" fillId="9" borderId="17" xfId="1" applyNumberFormat="1" applyFont="1" applyFill="1" applyBorder="1" applyAlignment="1" applyProtection="1">
      <alignment horizontal="center" vertical="center" wrapText="1"/>
    </xf>
    <xf numFmtId="0" fontId="10" fillId="9" borderId="12" xfId="1" applyNumberFormat="1" applyFont="1" applyFill="1" applyBorder="1" applyAlignment="1" applyProtection="1">
      <alignment horizontal="center" vertical="center"/>
    </xf>
    <xf numFmtId="0" fontId="10" fillId="9" borderId="13" xfId="1" applyNumberFormat="1" applyFont="1" applyFill="1" applyBorder="1" applyAlignment="1" applyProtection="1">
      <alignment horizontal="center" vertical="center"/>
    </xf>
    <xf numFmtId="0" fontId="10" fillId="9" borderId="23" xfId="1" applyNumberFormat="1" applyFont="1" applyFill="1" applyBorder="1" applyAlignment="1" applyProtection="1">
      <alignment horizontal="center" vertical="center"/>
    </xf>
    <xf numFmtId="189" fontId="26" fillId="10" borderId="17" xfId="0" applyNumberFormat="1" applyFont="1" applyFill="1" applyBorder="1" applyAlignment="1">
      <alignment horizontal="center" vertical="center"/>
    </xf>
    <xf numFmtId="189" fontId="26" fillId="10" borderId="0" xfId="0" applyNumberFormat="1" applyFont="1" applyFill="1" applyBorder="1" applyAlignment="1">
      <alignment horizontal="center" vertical="center"/>
    </xf>
    <xf numFmtId="189" fontId="26" fillId="10" borderId="20" xfId="0" applyNumberFormat="1" applyFont="1" applyFill="1" applyBorder="1" applyAlignment="1">
      <alignment horizontal="center" vertical="center"/>
    </xf>
    <xf numFmtId="0" fontId="26" fillId="10" borderId="17" xfId="0" applyFont="1" applyFill="1" applyBorder="1" applyAlignment="1">
      <alignment horizontal="center" vertical="center"/>
    </xf>
    <xf numFmtId="0" fontId="26" fillId="10" borderId="20" xfId="0" applyFont="1" applyFill="1" applyBorder="1" applyAlignment="1">
      <alignment horizontal="center" vertical="center"/>
    </xf>
    <xf numFmtId="188" fontId="10" fillId="5" borderId="16" xfId="0" applyNumberFormat="1" applyFont="1" applyFill="1" applyBorder="1" applyAlignment="1">
      <alignment horizontal="center" vertical="center"/>
    </xf>
    <xf numFmtId="189" fontId="26" fillId="13" borderId="17" xfId="0" applyNumberFormat="1" applyFont="1" applyFill="1" applyBorder="1" applyAlignment="1">
      <alignment horizontal="center" vertical="center"/>
    </xf>
    <xf numFmtId="189" fontId="26" fillId="13" borderId="0" xfId="0" applyNumberFormat="1" applyFont="1" applyFill="1" applyBorder="1" applyAlignment="1">
      <alignment horizontal="center" vertical="center"/>
    </xf>
    <xf numFmtId="189" fontId="26" fillId="13" borderId="20" xfId="0" applyNumberFormat="1" applyFont="1" applyFill="1" applyBorder="1" applyAlignment="1">
      <alignment horizontal="center" vertical="center"/>
    </xf>
    <xf numFmtId="0" fontId="26" fillId="13" borderId="0" xfId="0" applyFont="1" applyFill="1" applyBorder="1" applyAlignment="1">
      <alignment horizontal="center" vertical="center"/>
    </xf>
    <xf numFmtId="0" fontId="26" fillId="13" borderId="20" xfId="0" applyFont="1" applyFill="1" applyBorder="1" applyAlignment="1">
      <alignment horizontal="center" vertical="center"/>
    </xf>
    <xf numFmtId="0" fontId="26" fillId="13" borderId="17" xfId="0" applyFont="1" applyFill="1" applyBorder="1" applyAlignment="1">
      <alignment horizontal="center" vertical="center"/>
    </xf>
    <xf numFmtId="0" fontId="21" fillId="0" borderId="0" xfId="4" applyFont="1" applyAlignment="1">
      <alignment horizontal="center" vertical="center"/>
    </xf>
    <xf numFmtId="0" fontId="2" fillId="0" borderId="0" xfId="8" applyNumberFormat="1" applyFont="1" applyFill="1" applyAlignment="1" applyProtection="1">
      <alignment horizontal="center" vertical="center"/>
    </xf>
    <xf numFmtId="0" fontId="10" fillId="9" borderId="2" xfId="1" applyNumberFormat="1" applyFont="1" applyFill="1" applyBorder="1" applyAlignment="1" applyProtection="1">
      <alignment horizontal="center" vertical="center" wrapText="1"/>
    </xf>
    <xf numFmtId="0" fontId="10" fillId="9" borderId="16" xfId="1" applyNumberFormat="1" applyFont="1" applyFill="1" applyBorder="1" applyAlignment="1" applyProtection="1">
      <alignment horizontal="center" vertical="center" wrapText="1"/>
    </xf>
    <xf numFmtId="41" fontId="6" fillId="5" borderId="22" xfId="1" applyFont="1" applyFill="1" applyBorder="1" applyAlignment="1" applyProtection="1">
      <alignment horizontal="center" vertical="center" wrapText="1" shrinkToFit="1"/>
    </xf>
    <xf numFmtId="0" fontId="10" fillId="9" borderId="39" xfId="1" applyNumberFormat="1" applyFont="1" applyFill="1" applyBorder="1" applyAlignment="1" applyProtection="1">
      <alignment horizontal="center" vertical="center" wrapText="1"/>
    </xf>
  </cellXfs>
  <cellStyles count="9">
    <cellStyle name="쉼표 [0]" xfId="8" builtinId="6"/>
    <cellStyle name="쉼표 [0] 2" xfId="3" xr:uid="{00000000-0005-0000-0000-000000000000}"/>
    <cellStyle name="쉼표 [0] 3" xfId="1" xr:uid="{00000000-0005-0000-0000-000001000000}"/>
    <cellStyle name="쉼표 [0] 3 2" xfId="5" xr:uid="{00000000-0005-0000-0000-000002000000}"/>
    <cellStyle name="표준" xfId="0" builtinId="0"/>
    <cellStyle name="표준 10" xfId="4" xr:uid="{00000000-0005-0000-0000-000004000000}"/>
    <cellStyle name="표준 3" xfId="7" xr:uid="{00000000-0005-0000-0000-000005000000}"/>
    <cellStyle name="표준 4" xfId="6" xr:uid="{00000000-0005-0000-0000-000006000000}"/>
    <cellStyle name="표준 5 2" xfId="2" xr:uid="{00000000-0005-0000-0000-000007000000}"/>
  </cellStyles>
  <dxfs count="34"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auto="1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00FF"/>
      <color rgb="FF1C07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33052</xdr:colOff>
      <xdr:row>9</xdr:row>
      <xdr:rowOff>160292</xdr:rowOff>
    </xdr:from>
    <xdr:to>
      <xdr:col>11</xdr:col>
      <xdr:colOff>813062</xdr:colOff>
      <xdr:row>43</xdr:row>
      <xdr:rowOff>1916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26C658B-BA0C-4C65-9703-B7CCF58BD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291" y="3887466"/>
          <a:ext cx="9087467" cy="68818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J/AppData/Local/Temp/2020%20New_&#50672;&#52264;&#49688;&#45817;(7451_202002)_&#48516;&#45800;&#50948;_&#49688;&#51221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CNEG_Pay_ver2.7_20170317-(&#49688;&#45817;2&#52856;%20&#45720;&#51076;_&#53945;&#55092;%20&#49341;&#51077;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648;&#48124;&#51060;/AppData/Local/Temp/handytmp/&#49888;&#52492;&#52488;/&#44368;&#50977;&#44277;&#47924;&#51649;%20&#44553;&#50668;/DOCUME~1/sec/LOCALS~1/Temp/upow_1333707285/&#54617;&#44368;&#54924;&#44228;&#51649;&#50896;&#44553;&#50668;&#47749;&#49464;&#49436;(2007_&#44277;&#44060;&#50857;)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&#44368;&#50977;&#44277;&#47924;&#51649;/2019%20&#50672;&#52264;&#55092;&#44032;&#51068;&#49688;%20&#50504;&#45236;(&#44368;&#50977;&#44277;&#47924;&#51649;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00%20&#45236;&#47928;&#49436;(&#44608;&#51333;&#48124;)/03%20&#48708;&#51221;&#44508;&#51649;/01_&#44368;&#50977;&#44277;&#47924;&#51649;(&#44553;&#50668;)/&#44277;&#47924;&#51649;&#44553;&#50668;&#54532;&#47196;&#44536;&#47016;/CNEG_Pay_ver3.0_20171206-&#51076;&#44552;&#51064;&#49345;&#48516;&#48152;&#50689;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My%20Documents/GOE&#48155;&#51008;&#54028;&#51068;/&#44277;&#47924;&#50896;&#51060;%20&#50500;&#45772;%20&#44540;&#47196;&#51088;%20&#54788;&#54889;%20&#49436;&#49885;2012032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8&#45380;&#46020;\3.%20&#51064;&#44148;&#48708;\2.%20&#44368;&#50977;&#44277;&#47924;&#51649;&#50896;%20&#44208;&#50896;&#45824;&#52404;&#51064;&#44148;&#48708;\2.%20&#45824;&#52404;&#51064;&#47141;&#51064;&#44148;&#48708;&#51648;&#50896;\2&#50900;&#48516;\4.%20&#50500;&#49328;\(&#50728;&#50577;&#54620;&#50732;&#44256;)2017&#45380;&#46020;%20&#47582;&#52644;&#54805;&#48373;&#51648;%20&#45824;&#49345;&#51088;%20&#44592;&#52488;&#51088;&#47308;_&#50728;&#50577;&#54620;&#50732;&#44256;_&#51221;&#49328;&#45236;&#50669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18&#45380;&#46020;/3.%20&#51064;&#44148;&#48708;/2.%20&#44368;&#50977;&#44277;&#47924;&#51649;&#50896;%20&#44208;&#50896;&#45824;&#52404;&#51064;&#44148;&#48708;/2.%20&#45824;&#52404;&#51064;&#47141;&#51064;&#44148;&#48708;&#51648;&#50896;/2&#50900;&#48516;/4.%20&#50500;&#49328;/(&#50728;&#50577;&#54620;&#50732;&#44256;)2017&#45380;&#46020;%20&#47582;&#52644;&#54805;&#48373;&#51648;%20&#45824;&#49345;&#51088;%20&#44592;&#52488;&#51088;&#47308;_&#50728;&#50577;&#54620;&#50732;&#44256;_&#51221;&#49328;&#45236;&#5066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44368;&#50977;&#52397;~1\&#51064;&#44148;&#48708;\&#48373;&#47924;&#44288;&#47532;\15&#45380;&#47582;&#52644;&#54805;&#48373;&#51648;&#47749;&#45800;(&#44368;&#50977;&#4428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설명서"/>
      <sheetName val="기초자료(통상임금)"/>
      <sheetName val="달력(전)"/>
      <sheetName val="소정근로일(2018)"/>
      <sheetName val="개근_연차증가일(2018)"/>
      <sheetName val="달력(현)"/>
      <sheetName val="소정근로일(2019)"/>
      <sheetName val="개근_연차증가일(2019)"/>
      <sheetName val="연차수당내역"/>
      <sheetName val="참고자료"/>
      <sheetName val="직종표"/>
    </sheetNames>
    <sheetDataSet>
      <sheetData sheetId="0" refreshError="1"/>
      <sheetData sheetId="1">
        <row r="7">
          <cell r="D7" t="str">
            <v>김영양</v>
          </cell>
        </row>
        <row r="8">
          <cell r="D8" t="str">
            <v>나교무</v>
          </cell>
        </row>
        <row r="9">
          <cell r="D9" t="str">
            <v>다조리</v>
          </cell>
        </row>
        <row r="10">
          <cell r="D10" t="str">
            <v>라초등</v>
          </cell>
        </row>
        <row r="11">
          <cell r="D11" t="str">
            <v>다교무</v>
          </cell>
        </row>
        <row r="12">
          <cell r="D12" t="str">
            <v>라조리</v>
          </cell>
        </row>
        <row r="13">
          <cell r="D13" t="str">
            <v>라조리</v>
          </cell>
        </row>
        <row r="14">
          <cell r="D14" t="str">
            <v>김청소</v>
          </cell>
        </row>
      </sheetData>
      <sheetData sheetId="2" refreshError="1"/>
      <sheetData sheetId="3">
        <row r="2">
          <cell r="AR2">
            <v>43160</v>
          </cell>
          <cell r="AS2" t="str">
            <v>목</v>
          </cell>
        </row>
        <row r="3">
          <cell r="AR3">
            <v>43221</v>
          </cell>
          <cell r="AS3" t="str">
            <v>화</v>
          </cell>
        </row>
        <row r="4">
          <cell r="AR4">
            <v>43225</v>
          </cell>
          <cell r="AS4" t="str">
            <v>토</v>
          </cell>
        </row>
        <row r="5">
          <cell r="S5" t="str">
            <v>개근가산</v>
          </cell>
          <cell r="W5" t="str">
            <v>개근가산</v>
          </cell>
          <cell r="AE5" t="str">
            <v>개근가산</v>
          </cell>
          <cell r="AI5" t="str">
            <v>개근가산</v>
          </cell>
          <cell r="AM5" t="str">
            <v>개근가산</v>
          </cell>
          <cell r="AR5">
            <v>43227</v>
          </cell>
          <cell r="AS5" t="str">
            <v>월</v>
          </cell>
        </row>
        <row r="6">
          <cell r="AR6">
            <v>43235</v>
          </cell>
          <cell r="AS6" t="str">
            <v>화</v>
          </cell>
        </row>
        <row r="7">
          <cell r="S7" t="str">
            <v/>
          </cell>
          <cell r="W7" t="str">
            <v/>
          </cell>
          <cell r="AE7" t="str">
            <v/>
          </cell>
          <cell r="AI7" t="str">
            <v/>
          </cell>
          <cell r="AM7" t="str">
            <v/>
          </cell>
          <cell r="AR7">
            <v>43242</v>
          </cell>
          <cell r="AS7" t="str">
            <v>화</v>
          </cell>
        </row>
        <row r="8">
          <cell r="S8" t="str">
            <v/>
          </cell>
          <cell r="W8" t="str">
            <v/>
          </cell>
          <cell r="AE8" t="str">
            <v/>
          </cell>
          <cell r="AI8" t="str">
            <v/>
          </cell>
          <cell r="AM8" t="str">
            <v/>
          </cell>
          <cell r="AR8">
            <v>43257</v>
          </cell>
          <cell r="AS8" t="str">
            <v>수</v>
          </cell>
        </row>
        <row r="9">
          <cell r="S9" t="str">
            <v/>
          </cell>
          <cell r="W9" t="str">
            <v/>
          </cell>
          <cell r="AE9" t="str">
            <v/>
          </cell>
          <cell r="AI9" t="str">
            <v/>
          </cell>
          <cell r="AM9" t="str">
            <v/>
          </cell>
          <cell r="AR9">
            <v>43264</v>
          </cell>
          <cell r="AS9" t="str">
            <v>수</v>
          </cell>
        </row>
        <row r="10">
          <cell r="S10" t="str">
            <v/>
          </cell>
          <cell r="W10" t="str">
            <v/>
          </cell>
          <cell r="AE10" t="str">
            <v/>
          </cell>
          <cell r="AI10" t="str">
            <v/>
          </cell>
          <cell r="AM10" t="str">
            <v/>
          </cell>
          <cell r="AR10">
            <v>43327</v>
          </cell>
          <cell r="AS10" t="str">
            <v>수</v>
          </cell>
        </row>
        <row r="11">
          <cell r="S11" t="str">
            <v/>
          </cell>
          <cell r="W11" t="str">
            <v/>
          </cell>
          <cell r="AE11" t="str">
            <v/>
          </cell>
          <cell r="AI11" t="str">
            <v/>
          </cell>
          <cell r="AM11" t="str">
            <v/>
          </cell>
          <cell r="AR11">
            <v>43367</v>
          </cell>
          <cell r="AS11" t="str">
            <v>월</v>
          </cell>
        </row>
        <row r="12">
          <cell r="S12" t="str">
            <v/>
          </cell>
          <cell r="W12" t="str">
            <v/>
          </cell>
          <cell r="AE12" t="str">
            <v/>
          </cell>
          <cell r="AI12" t="str">
            <v/>
          </cell>
          <cell r="AM12" t="str">
            <v/>
          </cell>
          <cell r="AR12">
            <v>43368</v>
          </cell>
          <cell r="AS12" t="str">
            <v>화</v>
          </cell>
        </row>
        <row r="13">
          <cell r="S13" t="str">
            <v/>
          </cell>
          <cell r="W13" t="str">
            <v/>
          </cell>
          <cell r="AE13" t="str">
            <v/>
          </cell>
          <cell r="AI13" t="str">
            <v/>
          </cell>
          <cell r="AM13" t="str">
            <v/>
          </cell>
          <cell r="AR13">
            <v>43369</v>
          </cell>
          <cell r="AS13" t="str">
            <v>수</v>
          </cell>
        </row>
        <row r="14">
          <cell r="S14" t="str">
            <v/>
          </cell>
          <cell r="W14" t="str">
            <v/>
          </cell>
          <cell r="AE14" t="str">
            <v/>
          </cell>
          <cell r="AI14" t="str">
            <v/>
          </cell>
          <cell r="AM14" t="str">
            <v/>
          </cell>
          <cell r="AR14">
            <v>43376</v>
          </cell>
          <cell r="AS14" t="str">
            <v>수</v>
          </cell>
        </row>
        <row r="15">
          <cell r="S15" t="str">
            <v/>
          </cell>
          <cell r="W15" t="str">
            <v/>
          </cell>
          <cell r="AE15" t="str">
            <v/>
          </cell>
          <cell r="AI15" t="str">
            <v/>
          </cell>
          <cell r="AM15" t="str">
            <v/>
          </cell>
          <cell r="AR15">
            <v>43382</v>
          </cell>
          <cell r="AS15" t="str">
            <v>화</v>
          </cell>
        </row>
        <row r="16">
          <cell r="S16" t="str">
            <v/>
          </cell>
          <cell r="W16" t="str">
            <v/>
          </cell>
          <cell r="AE16" t="str">
            <v/>
          </cell>
          <cell r="AI16" t="str">
            <v/>
          </cell>
          <cell r="AM16" t="str">
            <v/>
          </cell>
          <cell r="AR16">
            <v>43459</v>
          </cell>
          <cell r="AS16" t="str">
            <v>화</v>
          </cell>
        </row>
        <row r="17">
          <cell r="S17" t="str">
            <v/>
          </cell>
          <cell r="W17" t="str">
            <v/>
          </cell>
          <cell r="AE17" t="str">
            <v/>
          </cell>
          <cell r="AI17" t="str">
            <v/>
          </cell>
          <cell r="AM17" t="str">
            <v/>
          </cell>
          <cell r="AR17">
            <v>43466</v>
          </cell>
          <cell r="AS17" t="str">
            <v>화</v>
          </cell>
        </row>
        <row r="18">
          <cell r="S18" t="str">
            <v/>
          </cell>
          <cell r="W18" t="str">
            <v/>
          </cell>
          <cell r="AE18" t="str">
            <v/>
          </cell>
          <cell r="AI18" t="str">
            <v/>
          </cell>
          <cell r="AM18" t="str">
            <v/>
          </cell>
          <cell r="AR18">
            <v>43500</v>
          </cell>
          <cell r="AS18" t="str">
            <v>월</v>
          </cell>
        </row>
        <row r="19">
          <cell r="S19" t="str">
            <v/>
          </cell>
          <cell r="W19" t="str">
            <v/>
          </cell>
          <cell r="AE19" t="str">
            <v/>
          </cell>
          <cell r="AI19" t="str">
            <v/>
          </cell>
          <cell r="AM19" t="str">
            <v/>
          </cell>
          <cell r="AR19">
            <v>43501</v>
          </cell>
          <cell r="AS19" t="str">
            <v>화</v>
          </cell>
        </row>
        <row r="20">
          <cell r="S20" t="str">
            <v/>
          </cell>
          <cell r="W20" t="str">
            <v/>
          </cell>
          <cell r="AE20" t="str">
            <v/>
          </cell>
          <cell r="AI20" t="str">
            <v/>
          </cell>
          <cell r="AM20" t="str">
            <v/>
          </cell>
          <cell r="AR20">
            <v>43502</v>
          </cell>
          <cell r="AS20" t="str">
            <v>수</v>
          </cell>
        </row>
        <row r="21">
          <cell r="S21" t="str">
            <v/>
          </cell>
          <cell r="W21" t="str">
            <v/>
          </cell>
          <cell r="AE21" t="str">
            <v/>
          </cell>
          <cell r="AI21" t="str">
            <v/>
          </cell>
          <cell r="AM21" t="str">
            <v/>
          </cell>
          <cell r="AS21" t="str">
            <v/>
          </cell>
        </row>
        <row r="22">
          <cell r="S22" t="str">
            <v/>
          </cell>
          <cell r="W22" t="str">
            <v/>
          </cell>
          <cell r="AE22" t="str">
            <v/>
          </cell>
          <cell r="AI22" t="str">
            <v/>
          </cell>
          <cell r="AM22" t="str">
            <v/>
          </cell>
          <cell r="AS22" t="str">
            <v/>
          </cell>
        </row>
        <row r="23">
          <cell r="S23" t="str">
            <v/>
          </cell>
          <cell r="W23" t="str">
            <v/>
          </cell>
          <cell r="AE23" t="str">
            <v/>
          </cell>
          <cell r="AI23" t="str">
            <v/>
          </cell>
          <cell r="AM23" t="str">
            <v/>
          </cell>
          <cell r="AS23" t="str">
            <v/>
          </cell>
        </row>
        <row r="24">
          <cell r="S24" t="str">
            <v/>
          </cell>
          <cell r="W24" t="str">
            <v/>
          </cell>
          <cell r="AE24" t="str">
            <v/>
          </cell>
          <cell r="AI24" t="str">
            <v/>
          </cell>
          <cell r="AM24" t="str">
            <v/>
          </cell>
          <cell r="AS24" t="str">
            <v/>
          </cell>
        </row>
        <row r="25">
          <cell r="S25" t="str">
            <v/>
          </cell>
          <cell r="W25" t="str">
            <v/>
          </cell>
          <cell r="AE25" t="str">
            <v/>
          </cell>
          <cell r="AI25" t="str">
            <v/>
          </cell>
          <cell r="AM25" t="str">
            <v/>
          </cell>
          <cell r="AS25" t="str">
            <v/>
          </cell>
        </row>
        <row r="26">
          <cell r="S26" t="str">
            <v/>
          </cell>
          <cell r="W26" t="str">
            <v/>
          </cell>
          <cell r="AE26" t="str">
            <v/>
          </cell>
          <cell r="AI26" t="str">
            <v/>
          </cell>
          <cell r="AM26" t="str">
            <v/>
          </cell>
          <cell r="AS26" t="str">
            <v/>
          </cell>
        </row>
      </sheetData>
      <sheetData sheetId="4" refreshError="1"/>
      <sheetData sheetId="5">
        <row r="8">
          <cell r="C8" t="str">
            <v>삼일절</v>
          </cell>
          <cell r="D8" t="str">
            <v>토</v>
          </cell>
          <cell r="E8" t="str">
            <v>일</v>
          </cell>
          <cell r="K8" t="str">
            <v>토</v>
          </cell>
          <cell r="L8" t="str">
            <v>일</v>
          </cell>
          <cell r="R8" t="str">
            <v>토</v>
          </cell>
          <cell r="S8" t="str">
            <v>일</v>
          </cell>
          <cell r="Y8" t="str">
            <v>토</v>
          </cell>
          <cell r="Z8" t="str">
            <v>일</v>
          </cell>
          <cell r="AF8" t="str">
            <v>토</v>
          </cell>
          <cell r="AG8" t="str">
            <v>일</v>
          </cell>
        </row>
        <row r="11">
          <cell r="H11" t="str">
            <v>토</v>
          </cell>
          <cell r="I11" t="str">
            <v>일</v>
          </cell>
          <cell r="O11" t="str">
            <v>토</v>
          </cell>
          <cell r="P11" t="str">
            <v>일</v>
          </cell>
          <cell r="V11" t="str">
            <v>토</v>
          </cell>
          <cell r="W11" t="str">
            <v>일</v>
          </cell>
          <cell r="AC11" t="str">
            <v>토</v>
          </cell>
          <cell r="AD11" t="str">
            <v>일</v>
          </cell>
        </row>
        <row r="14">
          <cell r="C14" t="str">
            <v>근로자의날</v>
          </cell>
          <cell r="D14" t="str">
            <v>대체공휴</v>
          </cell>
          <cell r="F14" t="str">
            <v>토</v>
          </cell>
          <cell r="G14" t="str">
            <v>일</v>
          </cell>
          <cell r="M14" t="str">
            <v>토</v>
          </cell>
          <cell r="N14" t="str">
            <v>일</v>
          </cell>
          <cell r="Q14" t="str">
            <v>재량휴업</v>
          </cell>
          <cell r="T14" t="str">
            <v>토</v>
          </cell>
          <cell r="U14" t="str">
            <v>일</v>
          </cell>
          <cell r="AA14" t="str">
            <v>토</v>
          </cell>
          <cell r="AB14" t="str">
            <v>일</v>
          </cell>
        </row>
        <row r="17">
          <cell r="C17" t="str">
            <v>토</v>
          </cell>
          <cell r="D17" t="str">
            <v>일</v>
          </cell>
          <cell r="H17" t="str">
            <v>현충일</v>
          </cell>
          <cell r="J17" t="str">
            <v>토</v>
          </cell>
          <cell r="K17" t="str">
            <v>일</v>
          </cell>
          <cell r="Q17" t="str">
            <v>토</v>
          </cell>
          <cell r="R17" t="str">
            <v>일</v>
          </cell>
          <cell r="X17" t="str">
            <v>토</v>
          </cell>
          <cell r="Y17" t="str">
            <v>일</v>
          </cell>
          <cell r="AE17" t="str">
            <v>토</v>
          </cell>
          <cell r="AF17" t="str">
            <v>일</v>
          </cell>
        </row>
        <row r="20">
          <cell r="H20" t="str">
            <v>토</v>
          </cell>
          <cell r="I20" t="str">
            <v>일</v>
          </cell>
          <cell r="O20" t="str">
            <v>토</v>
          </cell>
          <cell r="P20" t="str">
            <v>일</v>
          </cell>
          <cell r="V20" t="str">
            <v>토</v>
          </cell>
          <cell r="W20" t="str">
            <v>일</v>
          </cell>
          <cell r="AC20" t="str">
            <v>토</v>
          </cell>
          <cell r="AD20" t="str">
            <v>일</v>
          </cell>
        </row>
        <row r="23">
          <cell r="E23" t="str">
            <v>토</v>
          </cell>
          <cell r="F23" t="str">
            <v>일</v>
          </cell>
          <cell r="L23" t="str">
            <v>토</v>
          </cell>
          <cell r="M23" t="str">
            <v>일</v>
          </cell>
          <cell r="Q23" t="str">
            <v>광복절</v>
          </cell>
          <cell r="S23" t="str">
            <v>토</v>
          </cell>
          <cell r="T23" t="str">
            <v>일</v>
          </cell>
          <cell r="Z23" t="str">
            <v>토</v>
          </cell>
          <cell r="AA23" t="str">
            <v>일</v>
          </cell>
          <cell r="AG23" t="str">
            <v>토</v>
          </cell>
        </row>
        <row r="26">
          <cell r="C26" t="str">
            <v>일</v>
          </cell>
          <cell r="I26" t="str">
            <v>토</v>
          </cell>
          <cell r="J26" t="str">
            <v>일</v>
          </cell>
          <cell r="N26" t="str">
            <v>추석연휴</v>
          </cell>
          <cell r="O26" t="str">
            <v>추석</v>
          </cell>
          <cell r="P26" t="str">
            <v>토</v>
          </cell>
          <cell r="Q26" t="str">
            <v>일</v>
          </cell>
          <cell r="W26" t="str">
            <v>토</v>
          </cell>
          <cell r="X26" t="str">
            <v>일</v>
          </cell>
          <cell r="AD26" t="str">
            <v>토</v>
          </cell>
          <cell r="AE26" t="str">
            <v>일</v>
          </cell>
        </row>
        <row r="29">
          <cell r="E29" t="str">
            <v>개천절</v>
          </cell>
          <cell r="G29" t="str">
            <v>토</v>
          </cell>
          <cell r="H29" t="str">
            <v>일</v>
          </cell>
          <cell r="K29" t="str">
            <v>한글날</v>
          </cell>
          <cell r="N29" t="str">
            <v>토</v>
          </cell>
          <cell r="O29" t="str">
            <v>일</v>
          </cell>
          <cell r="U29" t="str">
            <v>토</v>
          </cell>
          <cell r="V29" t="str">
            <v>일</v>
          </cell>
          <cell r="AB29" t="str">
            <v>토</v>
          </cell>
          <cell r="AC29" t="str">
            <v>일</v>
          </cell>
        </row>
        <row r="32">
          <cell r="D32" t="str">
            <v>토</v>
          </cell>
          <cell r="E32" t="str">
            <v>일</v>
          </cell>
          <cell r="K32" t="str">
            <v>토</v>
          </cell>
          <cell r="L32" t="str">
            <v>일</v>
          </cell>
          <cell r="R32" t="str">
            <v>토</v>
          </cell>
          <cell r="S32" t="str">
            <v>일</v>
          </cell>
          <cell r="Y32" t="str">
            <v>토</v>
          </cell>
          <cell r="Z32" t="str">
            <v>일</v>
          </cell>
          <cell r="AF32" t="str">
            <v>토</v>
          </cell>
        </row>
        <row r="35">
          <cell r="C35" t="str">
            <v>일</v>
          </cell>
          <cell r="I35" t="str">
            <v>토</v>
          </cell>
          <cell r="J35" t="str">
            <v>일</v>
          </cell>
          <cell r="P35" t="str">
            <v>토</v>
          </cell>
          <cell r="Q35" t="str">
            <v>일</v>
          </cell>
          <cell r="W35" t="str">
            <v>토</v>
          </cell>
          <cell r="X35" t="str">
            <v>일</v>
          </cell>
          <cell r="AA35" t="str">
            <v>성탄절</v>
          </cell>
          <cell r="AD35" t="str">
            <v>토</v>
          </cell>
          <cell r="AE35" t="str">
            <v>일</v>
          </cell>
        </row>
        <row r="38">
          <cell r="C38" t="str">
            <v>신정</v>
          </cell>
          <cell r="F38" t="str">
            <v>토</v>
          </cell>
          <cell r="G38" t="str">
            <v>일</v>
          </cell>
          <cell r="M38" t="str">
            <v>토</v>
          </cell>
          <cell r="N38" t="str">
            <v>일</v>
          </cell>
          <cell r="T38" t="str">
            <v>토</v>
          </cell>
          <cell r="U38" t="str">
            <v>일</v>
          </cell>
          <cell r="Z38" t="str">
            <v>설연휴</v>
          </cell>
          <cell r="AA38" t="str">
            <v>토</v>
          </cell>
          <cell r="AB38" t="str">
            <v>일</v>
          </cell>
          <cell r="AC38" t="str">
            <v>대체공휴</v>
          </cell>
        </row>
        <row r="41">
          <cell r="C41" t="str">
            <v>토</v>
          </cell>
          <cell r="D41" t="str">
            <v>일</v>
          </cell>
          <cell r="J41" t="str">
            <v>토</v>
          </cell>
          <cell r="K41" t="str">
            <v>일</v>
          </cell>
          <cell r="Q41" t="str">
            <v>토</v>
          </cell>
          <cell r="R41" t="str">
            <v>일</v>
          </cell>
          <cell r="X41" t="str">
            <v>토</v>
          </cell>
          <cell r="Y41" t="str">
            <v>일</v>
          </cell>
          <cell r="AE41" t="str">
            <v>토</v>
          </cell>
        </row>
      </sheetData>
      <sheetData sheetId="6">
        <row r="2">
          <cell r="AR2">
            <v>43525</v>
          </cell>
          <cell r="AS2" t="str">
            <v>금</v>
          </cell>
        </row>
        <row r="3">
          <cell r="AR3">
            <v>43586</v>
          </cell>
          <cell r="AS3" t="str">
            <v>수</v>
          </cell>
        </row>
        <row r="4">
          <cell r="AR4">
            <v>43590</v>
          </cell>
          <cell r="AS4" t="str">
            <v>일</v>
          </cell>
        </row>
        <row r="5">
          <cell r="S5" t="str">
            <v>개근가산</v>
          </cell>
          <cell r="W5" t="str">
            <v>개근가산</v>
          </cell>
          <cell r="AE5" t="str">
            <v>개근가산</v>
          </cell>
          <cell r="AI5" t="str">
            <v>개근가산</v>
          </cell>
          <cell r="AR5">
            <v>43591</v>
          </cell>
          <cell r="AS5" t="str">
            <v>월</v>
          </cell>
        </row>
        <row r="6">
          <cell r="AR6">
            <v>43597</v>
          </cell>
          <cell r="AS6" t="str">
            <v>일</v>
          </cell>
        </row>
        <row r="7">
          <cell r="S7" t="str">
            <v/>
          </cell>
          <cell r="W7" t="str">
            <v/>
          </cell>
          <cell r="AE7" t="str">
            <v/>
          </cell>
          <cell r="AI7" t="str">
            <v/>
          </cell>
          <cell r="AP7">
            <v>247</v>
          </cell>
          <cell r="AR7">
            <v>43600</v>
          </cell>
          <cell r="AS7" t="str">
            <v>수</v>
          </cell>
        </row>
        <row r="8">
          <cell r="S8" t="str">
            <v/>
          </cell>
          <cell r="W8" t="str">
            <v/>
          </cell>
          <cell r="AE8" t="str">
            <v/>
          </cell>
          <cell r="AI8" t="str">
            <v/>
          </cell>
          <cell r="AP8">
            <v>247</v>
          </cell>
          <cell r="AR8">
            <v>43622</v>
          </cell>
          <cell r="AS8" t="str">
            <v>목</v>
          </cell>
        </row>
        <row r="9">
          <cell r="S9" t="str">
            <v/>
          </cell>
          <cell r="W9" t="str">
            <v/>
          </cell>
          <cell r="AE9" t="str">
            <v/>
          </cell>
          <cell r="AI9" t="str">
            <v/>
          </cell>
          <cell r="AP9">
            <v>247</v>
          </cell>
          <cell r="AR9">
            <v>43692</v>
          </cell>
          <cell r="AS9" t="str">
            <v>목</v>
          </cell>
        </row>
        <row r="10">
          <cell r="S10" t="str">
            <v/>
          </cell>
          <cell r="W10" t="str">
            <v/>
          </cell>
          <cell r="AE10" t="str">
            <v/>
          </cell>
          <cell r="AI10" t="str">
            <v/>
          </cell>
          <cell r="AP10">
            <v>247</v>
          </cell>
          <cell r="AR10">
            <v>43720</v>
          </cell>
          <cell r="AS10" t="str">
            <v>목</v>
          </cell>
        </row>
        <row r="11">
          <cell r="S11" t="str">
            <v/>
          </cell>
          <cell r="W11" t="str">
            <v/>
          </cell>
          <cell r="AE11" t="str">
            <v/>
          </cell>
          <cell r="AI11" t="str">
            <v/>
          </cell>
          <cell r="AP11">
            <v>247</v>
          </cell>
          <cell r="AR11">
            <v>43721</v>
          </cell>
          <cell r="AS11" t="str">
            <v>금</v>
          </cell>
        </row>
        <row r="12">
          <cell r="S12" t="str">
            <v/>
          </cell>
          <cell r="W12" t="str">
            <v/>
          </cell>
          <cell r="AE12" t="str">
            <v/>
          </cell>
          <cell r="AI12" t="str">
            <v/>
          </cell>
          <cell r="AP12">
            <v>247</v>
          </cell>
          <cell r="AR12">
            <v>43722</v>
          </cell>
          <cell r="AS12" t="str">
            <v>토</v>
          </cell>
        </row>
        <row r="13">
          <cell r="S13" t="str">
            <v/>
          </cell>
          <cell r="W13" t="str">
            <v/>
          </cell>
          <cell r="AE13" t="str">
            <v/>
          </cell>
          <cell r="AI13" t="str">
            <v/>
          </cell>
          <cell r="AP13">
            <v>247</v>
          </cell>
          <cell r="AR13">
            <v>43741</v>
          </cell>
          <cell r="AS13" t="str">
            <v>목</v>
          </cell>
        </row>
        <row r="14">
          <cell r="S14" t="str">
            <v/>
          </cell>
          <cell r="W14" t="str">
            <v/>
          </cell>
          <cell r="AE14" t="str">
            <v/>
          </cell>
          <cell r="AI14" t="str">
            <v/>
          </cell>
          <cell r="AP14">
            <v>247</v>
          </cell>
          <cell r="AR14">
            <v>43747</v>
          </cell>
          <cell r="AS14" t="str">
            <v>수</v>
          </cell>
        </row>
        <row r="15">
          <cell r="S15" t="str">
            <v/>
          </cell>
          <cell r="W15" t="str">
            <v/>
          </cell>
          <cell r="AE15" t="str">
            <v/>
          </cell>
          <cell r="AI15" t="str">
            <v/>
          </cell>
          <cell r="AP15" t="str">
            <v/>
          </cell>
          <cell r="AR15">
            <v>43824</v>
          </cell>
          <cell r="AS15" t="str">
            <v>수</v>
          </cell>
        </row>
        <row r="16">
          <cell r="S16" t="str">
            <v/>
          </cell>
          <cell r="W16" t="str">
            <v/>
          </cell>
          <cell r="AE16" t="str">
            <v/>
          </cell>
          <cell r="AI16" t="str">
            <v/>
          </cell>
          <cell r="AP16" t="str">
            <v/>
          </cell>
          <cell r="AR16">
            <v>43831</v>
          </cell>
          <cell r="AS16" t="str">
            <v>수</v>
          </cell>
        </row>
        <row r="17">
          <cell r="S17" t="str">
            <v/>
          </cell>
          <cell r="W17" t="str">
            <v/>
          </cell>
          <cell r="AE17" t="str">
            <v/>
          </cell>
          <cell r="AI17" t="str">
            <v/>
          </cell>
          <cell r="AP17" t="str">
            <v/>
          </cell>
          <cell r="AR17">
            <v>43854</v>
          </cell>
          <cell r="AS17" t="str">
            <v>금</v>
          </cell>
        </row>
        <row r="18">
          <cell r="S18" t="str">
            <v/>
          </cell>
          <cell r="W18" t="str">
            <v/>
          </cell>
          <cell r="AE18" t="str">
            <v/>
          </cell>
          <cell r="AI18" t="str">
            <v/>
          </cell>
          <cell r="AP18" t="str">
            <v/>
          </cell>
          <cell r="AR18">
            <v>43855</v>
          </cell>
          <cell r="AS18" t="str">
            <v>토</v>
          </cell>
        </row>
        <row r="19">
          <cell r="S19" t="str">
            <v/>
          </cell>
          <cell r="W19" t="str">
            <v/>
          </cell>
          <cell r="AE19" t="str">
            <v/>
          </cell>
          <cell r="AI19" t="str">
            <v/>
          </cell>
          <cell r="AP19" t="str">
            <v/>
          </cell>
          <cell r="AR19">
            <v>43856</v>
          </cell>
          <cell r="AS19" t="str">
            <v>일</v>
          </cell>
        </row>
        <row r="20">
          <cell r="S20" t="str">
            <v/>
          </cell>
          <cell r="W20" t="str">
            <v/>
          </cell>
          <cell r="AE20" t="str">
            <v/>
          </cell>
          <cell r="AI20" t="str">
            <v/>
          </cell>
          <cell r="AP20" t="str">
            <v/>
          </cell>
          <cell r="AR20">
            <v>43857</v>
          </cell>
          <cell r="AS20" t="str">
            <v>월</v>
          </cell>
        </row>
        <row r="21">
          <cell r="S21" t="str">
            <v/>
          </cell>
          <cell r="W21" t="str">
            <v/>
          </cell>
          <cell r="AE21" t="str">
            <v/>
          </cell>
          <cell r="AI21" t="str">
            <v/>
          </cell>
          <cell r="AP21" t="str">
            <v/>
          </cell>
          <cell r="AS21" t="str">
            <v/>
          </cell>
        </row>
        <row r="22">
          <cell r="S22" t="str">
            <v/>
          </cell>
          <cell r="W22" t="str">
            <v/>
          </cell>
          <cell r="AE22" t="str">
            <v/>
          </cell>
          <cell r="AI22" t="str">
            <v/>
          </cell>
          <cell r="AP22" t="str">
            <v/>
          </cell>
          <cell r="AS22" t="str">
            <v/>
          </cell>
        </row>
        <row r="23">
          <cell r="S23" t="str">
            <v/>
          </cell>
          <cell r="W23" t="str">
            <v/>
          </cell>
          <cell r="AE23" t="str">
            <v/>
          </cell>
          <cell r="AI23" t="str">
            <v/>
          </cell>
          <cell r="AP23" t="str">
            <v/>
          </cell>
          <cell r="AS23" t="str">
            <v/>
          </cell>
        </row>
        <row r="24">
          <cell r="S24" t="str">
            <v/>
          </cell>
          <cell r="W24" t="str">
            <v/>
          </cell>
          <cell r="AE24" t="str">
            <v/>
          </cell>
          <cell r="AI24" t="str">
            <v/>
          </cell>
          <cell r="AP24" t="str">
            <v/>
          </cell>
          <cell r="AS24" t="str">
            <v/>
          </cell>
        </row>
        <row r="25">
          <cell r="S25" t="str">
            <v/>
          </cell>
          <cell r="W25" t="str">
            <v/>
          </cell>
          <cell r="AE25" t="str">
            <v/>
          </cell>
          <cell r="AI25" t="str">
            <v/>
          </cell>
          <cell r="AP25" t="str">
            <v/>
          </cell>
          <cell r="AS25" t="str">
            <v/>
          </cell>
        </row>
        <row r="26">
          <cell r="S26" t="str">
            <v/>
          </cell>
          <cell r="W26" t="str">
            <v/>
          </cell>
          <cell r="AE26" t="str">
            <v/>
          </cell>
          <cell r="AI26" t="str">
            <v/>
          </cell>
          <cell r="AP26" t="str">
            <v/>
          </cell>
          <cell r="AS26" t="str">
            <v/>
          </cell>
        </row>
      </sheetData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사항"/>
      <sheetName val="근무상황부"/>
      <sheetName val="급여내역"/>
      <sheetName val="개인명세서"/>
      <sheetName val="보험료(참고)"/>
      <sheetName val="개발전용"/>
      <sheetName val="근무상황 계산"/>
      <sheetName val="주휴수당 계산"/>
      <sheetName val="출산"/>
      <sheetName val="자료"/>
      <sheetName val="조리원나조리급여대장"/>
    </sheetNames>
    <sheetDataSet>
      <sheetData sheetId="0">
        <row r="1">
          <cell r="B1" t="str">
            <v>[충남초등학교]</v>
          </cell>
        </row>
      </sheetData>
      <sheetData sheetId="1" refreshError="1"/>
      <sheetData sheetId="2">
        <row r="5">
          <cell r="A5" t="str">
            <v>순</v>
          </cell>
          <cell r="B5" t="str">
            <v>직</v>
          </cell>
          <cell r="C5" t="str">
            <v>기본급</v>
          </cell>
          <cell r="D5" t="str">
            <v>월근무
 기준일</v>
          </cell>
          <cell r="E5" t="str">
            <v>지급일
 (근무일)</v>
          </cell>
          <cell r="F5" t="str">
            <v>성명</v>
          </cell>
          <cell r="G5" t="str">
            <v>기본급</v>
          </cell>
          <cell r="H5" t="str">
            <v>장기근무가산금</v>
          </cell>
          <cell r="I5" t="str">
            <v>교통보조비</v>
          </cell>
          <cell r="J5" t="str">
            <v>급식비</v>
          </cell>
          <cell r="K5" t="str">
            <v>면허가산수당</v>
          </cell>
          <cell r="L5" t="str">
            <v>위험근무수당</v>
          </cell>
          <cell r="M5" t="str">
            <v>조리위생수당</v>
          </cell>
          <cell r="N5" t="str">
            <v>자격가산금</v>
          </cell>
          <cell r="O5" t="str">
            <v>초과근무수당</v>
          </cell>
          <cell r="P5" t="str">
            <v>가족수당</v>
          </cell>
          <cell r="Q5" t="str">
            <v>자녀학비</v>
          </cell>
          <cell r="R5" t="str">
            <v>명절휴가비</v>
          </cell>
          <cell r="S5" t="str">
            <v>상여금</v>
          </cell>
          <cell r="T5" t="str">
            <v>자기계발비</v>
          </cell>
          <cell r="U5" t="str">
            <v>최저임금
 보전월액</v>
          </cell>
          <cell r="V5" t="str">
            <v>기타수당</v>
          </cell>
          <cell r="W5" t="str">
            <v>기타수당</v>
          </cell>
          <cell r="X5" t="str">
            <v>기타수당</v>
          </cell>
          <cell r="Y5" t="str">
            <v>급여총액</v>
          </cell>
          <cell r="Z5" t="str">
            <v>건강보험</v>
          </cell>
          <cell r="AA5" t="str">
            <v>정산보험</v>
          </cell>
          <cell r="AB5" t="str">
            <v>국민연금</v>
          </cell>
          <cell r="AC5" t="str">
            <v>고용보험</v>
          </cell>
          <cell r="AD5" t="str">
            <v>소득세</v>
          </cell>
          <cell r="AE5" t="str">
            <v>주민세</v>
          </cell>
          <cell r="AF5" t="str">
            <v>친목회</v>
          </cell>
          <cell r="AG5" t="str">
            <v>급식비</v>
          </cell>
          <cell r="AH5" t="str">
            <v>기타1</v>
          </cell>
          <cell r="AI5" t="str">
            <v>기타2</v>
          </cell>
          <cell r="AJ5" t="str">
            <v>기타3</v>
          </cell>
          <cell r="AK5" t="str">
            <v>기타4</v>
          </cell>
          <cell r="AL5" t="str">
            <v>기타5</v>
          </cell>
          <cell r="AM5" t="str">
            <v>공제총액</v>
          </cell>
          <cell r="AN5" t="str">
            <v>실수령액</v>
          </cell>
          <cell r="AO5" t="str">
            <v>영수인</v>
          </cell>
        </row>
      </sheetData>
      <sheetData sheetId="3" refreshError="1"/>
      <sheetData sheetId="4" refreshError="1"/>
      <sheetData sheetId="5">
        <row r="2">
          <cell r="L2" t="str">
            <v>영양사</v>
          </cell>
        </row>
      </sheetData>
      <sheetData sheetId="6" refreshError="1"/>
      <sheetData sheetId="7">
        <row r="6">
          <cell r="G6">
            <v>5</v>
          </cell>
        </row>
      </sheetData>
      <sheetData sheetId="8" refreshError="1"/>
      <sheetData sheetId="9">
        <row r="1">
          <cell r="L1">
            <v>0</v>
          </cell>
        </row>
      </sheetData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명세서"/>
      <sheetName val="총괄"/>
      <sheetName val="기본급"/>
      <sheetName val="근속가산금"/>
      <sheetName val="최저생계비"/>
      <sheetName val="처우개선비"/>
      <sheetName val="기술정보수당"/>
      <sheetName val="특수업무수당"/>
      <sheetName val="보육수당"/>
      <sheetName val="예비1"/>
      <sheetName val="예비2"/>
      <sheetName val="초과근무수당"/>
      <sheetName val="명절휴가비"/>
      <sheetName val="맞춤형복지비"/>
      <sheetName val="연차수당"/>
      <sheetName val="예비3"/>
      <sheetName val="예비4"/>
      <sheetName val="예비5"/>
      <sheetName val="소득세"/>
      <sheetName val="국민연금"/>
      <sheetName val="건강보험료"/>
      <sheetName val="고용보험료"/>
      <sheetName val="급식비"/>
      <sheetName val="기타공제"/>
      <sheetName val="참조"/>
      <sheetName val="보험험요율"/>
      <sheetName val="간이세액표"/>
      <sheetName val="용어"/>
      <sheetName val="Sheet1"/>
    </sheetNames>
    <sheetDataSet>
      <sheetData sheetId="0"/>
      <sheetData sheetId="1">
        <row r="1">
          <cell r="A1" t="str">
            <v>고유번호</v>
          </cell>
          <cell r="B1" t="str">
            <v>성명</v>
          </cell>
          <cell r="C1" t="str">
            <v>직종</v>
          </cell>
          <cell r="D1" t="str">
            <v>주민등록번호</v>
          </cell>
          <cell r="E1" t="str">
            <v>주소</v>
          </cell>
          <cell r="F1" t="str">
            <v>최초임용일(A)</v>
          </cell>
          <cell r="G1" t="str">
            <v>근속가산금산정기준일(B)</v>
          </cell>
          <cell r="H1" t="str">
            <v>전환연월일(C=B-A)</v>
          </cell>
          <cell r="K1" t="str">
            <v>추가경력(1)</v>
          </cell>
          <cell r="P1" t="str">
            <v>추가경력(2)</v>
          </cell>
          <cell r="U1" t="str">
            <v>추가경력(3)</v>
          </cell>
          <cell r="Z1" t="str">
            <v>추가경력(4)</v>
          </cell>
          <cell r="AE1" t="str">
            <v>총근무경력(A)</v>
          </cell>
          <cell r="AH1" t="str">
            <v>공제경력(1)</v>
          </cell>
          <cell r="AM1" t="str">
            <v>공제경력(2)</v>
          </cell>
          <cell r="AR1" t="str">
            <v>공제연월일(B)</v>
          </cell>
          <cell r="AU1" t="str">
            <v>실근로연월일(C=A-B)</v>
          </cell>
          <cell r="AX1" t="str">
            <v>계약종류</v>
          </cell>
          <cell r="AY1" t="str">
            <v>연간근로일수</v>
          </cell>
          <cell r="AZ1" t="str">
            <v>단가</v>
          </cell>
          <cell r="BA1" t="str">
            <v>기본급</v>
          </cell>
          <cell r="BB1" t="str">
            <v>근속가산금</v>
          </cell>
          <cell r="BC1" t="str">
            <v>최저생계비</v>
          </cell>
          <cell r="BD1" t="str">
            <v>처우개선비</v>
          </cell>
          <cell r="BE1" t="str">
            <v>기슬정보수당</v>
          </cell>
          <cell r="BF1" t="str">
            <v>특수업무수당</v>
          </cell>
          <cell r="BG1" t="str">
            <v>5세이하자녀수</v>
          </cell>
          <cell r="BH1" t="str">
            <v>보육수당</v>
          </cell>
          <cell r="BI1" t="str">
            <v>예비1</v>
          </cell>
          <cell r="BJ1" t="str">
            <v>예비2</v>
          </cell>
          <cell r="BK1" t="str">
            <v>연봉액</v>
          </cell>
          <cell r="BL1" t="str">
            <v>월지급액(3~익년1월)</v>
          </cell>
          <cell r="BM1" t="str">
            <v>초과근무시간</v>
          </cell>
          <cell r="BN1" t="str">
            <v>초과근무수당</v>
          </cell>
          <cell r="BO1" t="str">
            <v>명절휴가비</v>
          </cell>
          <cell r="BP1" t="str">
            <v>맞춤형복지비</v>
          </cell>
          <cell r="BQ1" t="str">
            <v>연차수당</v>
          </cell>
          <cell r="BR1" t="str">
            <v>예비3</v>
          </cell>
          <cell r="BS1" t="str">
            <v>예비4</v>
          </cell>
          <cell r="BT1" t="str">
            <v>예비5</v>
          </cell>
          <cell r="BU1" t="str">
            <v>총급여액</v>
          </cell>
          <cell r="BV1" t="str">
            <v>부양가족수</v>
          </cell>
          <cell r="BW1" t="str">
            <v>20세이하자녀수</v>
          </cell>
          <cell r="BX1" t="str">
            <v>비과세액</v>
          </cell>
          <cell r="BY1" t="str">
            <v>소득세</v>
          </cell>
          <cell r="BZ1" t="str">
            <v>주민세</v>
          </cell>
          <cell r="CA1" t="str">
            <v>국민연금</v>
          </cell>
          <cell r="CB1" t="str">
            <v>건강보험</v>
          </cell>
          <cell r="CC1" t="str">
            <v>고용보험</v>
          </cell>
          <cell r="CD1" t="str">
            <v>예비1</v>
          </cell>
          <cell r="CE1" t="str">
            <v>예비2</v>
          </cell>
        </row>
        <row r="2">
          <cell r="A2">
            <v>1</v>
          </cell>
          <cell r="B2" t="str">
            <v>갑순이</v>
          </cell>
          <cell r="C2" t="str">
            <v>특수교육보조원</v>
          </cell>
          <cell r="D2" t="str">
            <v>101010-1000000</v>
          </cell>
          <cell r="E2" t="str">
            <v>미래시 미래동 미래아파트 100-100</v>
          </cell>
          <cell r="F2">
            <v>40603</v>
          </cell>
          <cell r="G2">
            <v>40968</v>
          </cell>
          <cell r="H2">
            <v>1</v>
          </cell>
          <cell r="I2">
            <v>0</v>
          </cell>
          <cell r="J2">
            <v>0</v>
          </cell>
          <cell r="K2">
            <v>39692</v>
          </cell>
          <cell r="L2">
            <v>40602</v>
          </cell>
          <cell r="M2">
            <v>2</v>
          </cell>
          <cell r="N2">
            <v>6</v>
          </cell>
          <cell r="O2">
            <v>0</v>
          </cell>
          <cell r="R2">
            <v>0</v>
          </cell>
          <cell r="S2">
            <v>0</v>
          </cell>
          <cell r="T2">
            <v>0</v>
          </cell>
          <cell r="W2">
            <v>0</v>
          </cell>
          <cell r="X2">
            <v>0</v>
          </cell>
          <cell r="Y2">
            <v>0</v>
          </cell>
          <cell r="AB2">
            <v>0</v>
          </cell>
          <cell r="AC2">
            <v>0</v>
          </cell>
          <cell r="AD2">
            <v>0</v>
          </cell>
          <cell r="AE2">
            <v>3</v>
          </cell>
          <cell r="AF2">
            <v>6</v>
          </cell>
          <cell r="AG2">
            <v>0</v>
          </cell>
          <cell r="AJ2">
            <v>0</v>
          </cell>
          <cell r="AK2">
            <v>0</v>
          </cell>
          <cell r="AL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3</v>
          </cell>
          <cell r="AV2">
            <v>6</v>
          </cell>
          <cell r="AW2">
            <v>0</v>
          </cell>
          <cell r="AX2" t="str">
            <v>기간제</v>
          </cell>
          <cell r="AY2">
            <v>275</v>
          </cell>
          <cell r="AZ2">
            <v>45500</v>
          </cell>
          <cell r="BA2">
            <v>12512500</v>
          </cell>
          <cell r="BB2">
            <v>360000</v>
          </cell>
          <cell r="BC2">
            <v>960000</v>
          </cell>
          <cell r="BD2">
            <v>0</v>
          </cell>
          <cell r="BE2">
            <v>0</v>
          </cell>
          <cell r="BF2">
            <v>0</v>
          </cell>
          <cell r="BH2">
            <v>0</v>
          </cell>
          <cell r="BK2">
            <v>13832500</v>
          </cell>
          <cell r="BL2">
            <v>1042700</v>
          </cell>
          <cell r="BN2">
            <v>0</v>
          </cell>
          <cell r="BO2">
            <v>200000</v>
          </cell>
          <cell r="BP2">
            <v>350000</v>
          </cell>
          <cell r="BQ2">
            <v>500500</v>
          </cell>
          <cell r="BU2">
            <v>14883000</v>
          </cell>
          <cell r="BV2">
            <v>2</v>
          </cell>
          <cell r="BW2">
            <v>1</v>
          </cell>
          <cell r="BX2">
            <v>1000000</v>
          </cell>
          <cell r="BY2">
            <v>0</v>
          </cell>
          <cell r="BZ2">
            <v>0</v>
          </cell>
          <cell r="CA2">
            <v>568460</v>
          </cell>
          <cell r="CB2">
            <v>380230</v>
          </cell>
          <cell r="CC2">
            <v>69470</v>
          </cell>
        </row>
        <row r="3">
          <cell r="A3">
            <v>2</v>
          </cell>
          <cell r="B3" t="str">
            <v>을순이</v>
          </cell>
          <cell r="C3" t="str">
            <v>조리사</v>
          </cell>
          <cell r="D3" t="str">
            <v>101010-1000001</v>
          </cell>
          <cell r="E3" t="str">
            <v>미래시 미래동 미래아파트 100-101</v>
          </cell>
          <cell r="F3">
            <v>38777</v>
          </cell>
          <cell r="G3">
            <v>40968</v>
          </cell>
          <cell r="H3">
            <v>6</v>
          </cell>
          <cell r="I3">
            <v>0</v>
          </cell>
          <cell r="J3">
            <v>0</v>
          </cell>
          <cell r="K3">
            <v>36587</v>
          </cell>
          <cell r="L3">
            <v>37315</v>
          </cell>
          <cell r="M3">
            <v>1</v>
          </cell>
          <cell r="N3">
            <v>11</v>
          </cell>
          <cell r="O3">
            <v>27</v>
          </cell>
          <cell r="P3">
            <v>37319</v>
          </cell>
          <cell r="Q3">
            <v>37673</v>
          </cell>
          <cell r="R3">
            <v>0</v>
          </cell>
          <cell r="S3">
            <v>11</v>
          </cell>
          <cell r="T3">
            <v>18</v>
          </cell>
          <cell r="U3">
            <v>37683</v>
          </cell>
          <cell r="V3">
            <v>38037</v>
          </cell>
          <cell r="W3">
            <v>0</v>
          </cell>
          <cell r="X3">
            <v>11</v>
          </cell>
          <cell r="Y3">
            <v>18</v>
          </cell>
          <cell r="Z3">
            <v>38047</v>
          </cell>
          <cell r="AA3">
            <v>38776</v>
          </cell>
          <cell r="AB3">
            <v>2</v>
          </cell>
          <cell r="AC3">
            <v>0</v>
          </cell>
          <cell r="AD3">
            <v>0</v>
          </cell>
          <cell r="AE3">
            <v>11</v>
          </cell>
          <cell r="AF3">
            <v>11</v>
          </cell>
          <cell r="AG3">
            <v>3</v>
          </cell>
          <cell r="AJ3">
            <v>0</v>
          </cell>
          <cell r="AK3">
            <v>0</v>
          </cell>
          <cell r="AL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11</v>
          </cell>
          <cell r="AV3">
            <v>11</v>
          </cell>
          <cell r="AW3">
            <v>3</v>
          </cell>
          <cell r="AX3" t="str">
            <v>무기</v>
          </cell>
          <cell r="AY3">
            <v>265</v>
          </cell>
          <cell r="AZ3">
            <v>47775</v>
          </cell>
          <cell r="BA3">
            <v>12660370</v>
          </cell>
          <cell r="BB3">
            <v>600000</v>
          </cell>
          <cell r="BC3">
            <v>960000</v>
          </cell>
          <cell r="BD3">
            <v>600000</v>
          </cell>
          <cell r="BE3">
            <v>0</v>
          </cell>
          <cell r="BF3">
            <v>0</v>
          </cell>
          <cell r="BH3">
            <v>0</v>
          </cell>
          <cell r="BK3">
            <v>14820370</v>
          </cell>
          <cell r="BL3">
            <v>1055030</v>
          </cell>
          <cell r="BN3">
            <v>0</v>
          </cell>
          <cell r="BO3">
            <v>200000</v>
          </cell>
          <cell r="BP3">
            <v>350000</v>
          </cell>
          <cell r="BQ3">
            <v>716625</v>
          </cell>
          <cell r="BU3">
            <v>16086995</v>
          </cell>
          <cell r="BY3">
            <v>7230</v>
          </cell>
          <cell r="BZ3">
            <v>720</v>
          </cell>
          <cell r="CA3">
            <v>612910</v>
          </cell>
          <cell r="CB3">
            <v>409960</v>
          </cell>
          <cell r="CC3">
            <v>74910</v>
          </cell>
        </row>
        <row r="4">
          <cell r="A4">
            <v>3</v>
          </cell>
          <cell r="B4" t="str">
            <v>병순이</v>
          </cell>
          <cell r="C4" t="str">
            <v>조리원</v>
          </cell>
          <cell r="D4" t="str">
            <v>101010-1000002</v>
          </cell>
          <cell r="E4" t="str">
            <v>미래시 미래동 미래아파트 100-102</v>
          </cell>
          <cell r="F4">
            <v>38777</v>
          </cell>
          <cell r="G4">
            <v>40968</v>
          </cell>
          <cell r="H4">
            <v>6</v>
          </cell>
          <cell r="I4">
            <v>0</v>
          </cell>
          <cell r="J4">
            <v>0</v>
          </cell>
          <cell r="M4">
            <v>0</v>
          </cell>
          <cell r="N4">
            <v>0</v>
          </cell>
          <cell r="O4">
            <v>0</v>
          </cell>
          <cell r="R4">
            <v>0</v>
          </cell>
          <cell r="S4">
            <v>0</v>
          </cell>
          <cell r="T4">
            <v>0</v>
          </cell>
          <cell r="W4">
            <v>0</v>
          </cell>
          <cell r="X4">
            <v>0</v>
          </cell>
          <cell r="Y4">
            <v>0</v>
          </cell>
          <cell r="AB4">
            <v>0</v>
          </cell>
          <cell r="AC4">
            <v>0</v>
          </cell>
          <cell r="AD4">
            <v>0</v>
          </cell>
          <cell r="AE4">
            <v>6</v>
          </cell>
          <cell r="AF4">
            <v>0</v>
          </cell>
          <cell r="AG4">
            <v>0</v>
          </cell>
          <cell r="AJ4">
            <v>0</v>
          </cell>
          <cell r="AK4">
            <v>0</v>
          </cell>
          <cell r="AL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6</v>
          </cell>
          <cell r="AV4">
            <v>0</v>
          </cell>
          <cell r="AW4">
            <v>0</v>
          </cell>
          <cell r="AX4" t="str">
            <v>무기</v>
          </cell>
          <cell r="AY4">
            <v>265</v>
          </cell>
          <cell r="AZ4">
            <v>45500</v>
          </cell>
          <cell r="BA4">
            <v>12057500</v>
          </cell>
          <cell r="BB4">
            <v>480000</v>
          </cell>
          <cell r="BC4">
            <v>960000</v>
          </cell>
          <cell r="BD4">
            <v>0</v>
          </cell>
          <cell r="BE4">
            <v>0</v>
          </cell>
          <cell r="BF4">
            <v>0</v>
          </cell>
          <cell r="BH4">
            <v>0</v>
          </cell>
          <cell r="BK4">
            <v>13497500</v>
          </cell>
          <cell r="BL4">
            <v>1004790</v>
          </cell>
          <cell r="BN4">
            <v>0</v>
          </cell>
          <cell r="BO4">
            <v>200000</v>
          </cell>
          <cell r="BP4">
            <v>350000</v>
          </cell>
          <cell r="BQ4">
            <v>546000</v>
          </cell>
          <cell r="BU4">
            <v>14593500</v>
          </cell>
          <cell r="BW4">
            <v>1</v>
          </cell>
          <cell r="BY4">
            <v>4910</v>
          </cell>
          <cell r="BZ4">
            <v>490</v>
          </cell>
          <cell r="CA4">
            <v>553380</v>
          </cell>
          <cell r="CB4">
            <v>370140</v>
          </cell>
          <cell r="CC4">
            <v>67630</v>
          </cell>
        </row>
        <row r="5">
          <cell r="A5">
            <v>4</v>
          </cell>
          <cell r="B5" t="str">
            <v>정순이</v>
          </cell>
          <cell r="C5" t="str">
            <v>조리원</v>
          </cell>
          <cell r="D5" t="str">
            <v>101010-1000003</v>
          </cell>
          <cell r="E5" t="str">
            <v>미래시 미래동 미래아파트 100-103</v>
          </cell>
          <cell r="F5">
            <v>39142</v>
          </cell>
          <cell r="G5">
            <v>40968</v>
          </cell>
          <cell r="H5">
            <v>5</v>
          </cell>
          <cell r="I5">
            <v>0</v>
          </cell>
          <cell r="J5">
            <v>0</v>
          </cell>
          <cell r="K5">
            <v>32381</v>
          </cell>
          <cell r="L5">
            <v>34424</v>
          </cell>
          <cell r="M5">
            <v>5</v>
          </cell>
          <cell r="N5">
            <v>7</v>
          </cell>
          <cell r="O5">
            <v>5</v>
          </cell>
          <cell r="R5">
            <v>0</v>
          </cell>
          <cell r="S5">
            <v>0</v>
          </cell>
          <cell r="T5">
            <v>0</v>
          </cell>
          <cell r="W5">
            <v>0</v>
          </cell>
          <cell r="X5">
            <v>0</v>
          </cell>
          <cell r="Y5">
            <v>0</v>
          </cell>
          <cell r="AB5">
            <v>0</v>
          </cell>
          <cell r="AC5">
            <v>0</v>
          </cell>
          <cell r="AD5">
            <v>0</v>
          </cell>
          <cell r="AE5">
            <v>10</v>
          </cell>
          <cell r="AF5">
            <v>7</v>
          </cell>
          <cell r="AG5">
            <v>5</v>
          </cell>
          <cell r="AJ5">
            <v>0</v>
          </cell>
          <cell r="AK5">
            <v>0</v>
          </cell>
          <cell r="AL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10</v>
          </cell>
          <cell r="AV5">
            <v>7</v>
          </cell>
          <cell r="AW5">
            <v>5</v>
          </cell>
          <cell r="AX5" t="str">
            <v>무기</v>
          </cell>
          <cell r="AY5">
            <v>265</v>
          </cell>
          <cell r="AZ5">
            <v>45500</v>
          </cell>
          <cell r="BA5">
            <v>12057500</v>
          </cell>
          <cell r="BB5">
            <v>600000</v>
          </cell>
          <cell r="BC5">
            <v>960000</v>
          </cell>
          <cell r="BD5">
            <v>0</v>
          </cell>
          <cell r="BE5">
            <v>0</v>
          </cell>
          <cell r="BF5">
            <v>0</v>
          </cell>
          <cell r="BH5">
            <v>0</v>
          </cell>
          <cell r="BK5">
            <v>13617500</v>
          </cell>
          <cell r="BL5">
            <v>1004790</v>
          </cell>
          <cell r="BN5">
            <v>0</v>
          </cell>
          <cell r="BO5">
            <v>200000</v>
          </cell>
          <cell r="BP5">
            <v>350000</v>
          </cell>
          <cell r="BQ5">
            <v>637000</v>
          </cell>
          <cell r="BU5">
            <v>14804500</v>
          </cell>
          <cell r="BV5">
            <v>1</v>
          </cell>
          <cell r="BY5">
            <v>1700</v>
          </cell>
          <cell r="BZ5">
            <v>170</v>
          </cell>
          <cell r="CA5">
            <v>558780</v>
          </cell>
          <cell r="CB5">
            <v>373760</v>
          </cell>
          <cell r="CC5">
            <v>68290</v>
          </cell>
        </row>
        <row r="6">
          <cell r="A6">
            <v>5</v>
          </cell>
          <cell r="B6" t="str">
            <v>진순이</v>
          </cell>
          <cell r="C6" t="str">
            <v>조리원</v>
          </cell>
          <cell r="D6" t="str">
            <v>101010-1000004</v>
          </cell>
          <cell r="E6" t="str">
            <v>미래시 미래동 미래아파트 100-104</v>
          </cell>
          <cell r="F6">
            <v>40238</v>
          </cell>
          <cell r="G6">
            <v>40968</v>
          </cell>
          <cell r="H6">
            <v>2</v>
          </cell>
          <cell r="I6">
            <v>0</v>
          </cell>
          <cell r="J6">
            <v>0</v>
          </cell>
          <cell r="K6">
            <v>39569</v>
          </cell>
          <cell r="L6">
            <v>40218</v>
          </cell>
          <cell r="M6">
            <v>1</v>
          </cell>
          <cell r="N6">
            <v>9</v>
          </cell>
          <cell r="O6">
            <v>9</v>
          </cell>
          <cell r="R6">
            <v>0</v>
          </cell>
          <cell r="S6">
            <v>0</v>
          </cell>
          <cell r="T6">
            <v>0</v>
          </cell>
          <cell r="W6">
            <v>0</v>
          </cell>
          <cell r="X6">
            <v>0</v>
          </cell>
          <cell r="Y6">
            <v>0</v>
          </cell>
          <cell r="AB6">
            <v>0</v>
          </cell>
          <cell r="AC6">
            <v>0</v>
          </cell>
          <cell r="AD6">
            <v>0</v>
          </cell>
          <cell r="AE6">
            <v>3</v>
          </cell>
          <cell r="AF6">
            <v>9</v>
          </cell>
          <cell r="AG6">
            <v>9</v>
          </cell>
          <cell r="AJ6">
            <v>0</v>
          </cell>
          <cell r="AK6">
            <v>0</v>
          </cell>
          <cell r="AL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3</v>
          </cell>
          <cell r="AV6">
            <v>9</v>
          </cell>
          <cell r="AW6">
            <v>9</v>
          </cell>
          <cell r="AX6" t="str">
            <v>기간제</v>
          </cell>
          <cell r="AY6">
            <v>265</v>
          </cell>
          <cell r="AZ6">
            <v>45500</v>
          </cell>
          <cell r="BA6">
            <v>12057500</v>
          </cell>
          <cell r="BB6">
            <v>360000</v>
          </cell>
          <cell r="BC6">
            <v>960000</v>
          </cell>
          <cell r="BD6">
            <v>0</v>
          </cell>
          <cell r="BE6">
            <v>0</v>
          </cell>
          <cell r="BF6">
            <v>0</v>
          </cell>
          <cell r="BH6">
            <v>0</v>
          </cell>
          <cell r="BK6">
            <v>13377500</v>
          </cell>
          <cell r="BL6">
            <v>1004790</v>
          </cell>
          <cell r="BN6">
            <v>0</v>
          </cell>
          <cell r="BO6">
            <v>200000</v>
          </cell>
          <cell r="BP6">
            <v>350000</v>
          </cell>
          <cell r="BQ6">
            <v>500500</v>
          </cell>
          <cell r="BU6">
            <v>14428000</v>
          </cell>
          <cell r="BV6">
            <v>1</v>
          </cell>
          <cell r="BY6">
            <v>1360</v>
          </cell>
          <cell r="BZ6">
            <v>130</v>
          </cell>
          <cell r="CA6">
            <v>547980</v>
          </cell>
          <cell r="CB6">
            <v>366530</v>
          </cell>
          <cell r="CC6">
            <v>66970</v>
          </cell>
        </row>
        <row r="7">
          <cell r="A7">
            <v>6</v>
          </cell>
          <cell r="B7" t="str">
            <v>사순이</v>
          </cell>
          <cell r="C7" t="str">
            <v>조리원</v>
          </cell>
          <cell r="D7" t="str">
            <v>101010-1000005</v>
          </cell>
          <cell r="E7" t="str">
            <v>미래시 미래동 미래아파트 100-105</v>
          </cell>
          <cell r="F7">
            <v>40238</v>
          </cell>
          <cell r="G7">
            <v>40968</v>
          </cell>
          <cell r="H7">
            <v>2</v>
          </cell>
          <cell r="I7">
            <v>0</v>
          </cell>
          <cell r="J7">
            <v>0</v>
          </cell>
          <cell r="K7">
            <v>38777</v>
          </cell>
          <cell r="L7">
            <v>39872</v>
          </cell>
          <cell r="M7">
            <v>3</v>
          </cell>
          <cell r="N7">
            <v>0</v>
          </cell>
          <cell r="O7">
            <v>0</v>
          </cell>
          <cell r="R7">
            <v>0</v>
          </cell>
          <cell r="S7">
            <v>0</v>
          </cell>
          <cell r="T7">
            <v>0</v>
          </cell>
          <cell r="W7">
            <v>0</v>
          </cell>
          <cell r="X7">
            <v>0</v>
          </cell>
          <cell r="Y7">
            <v>0</v>
          </cell>
          <cell r="AB7">
            <v>0</v>
          </cell>
          <cell r="AC7">
            <v>0</v>
          </cell>
          <cell r="AD7">
            <v>0</v>
          </cell>
          <cell r="AE7">
            <v>5</v>
          </cell>
          <cell r="AF7">
            <v>0</v>
          </cell>
          <cell r="AG7">
            <v>0</v>
          </cell>
          <cell r="AJ7">
            <v>0</v>
          </cell>
          <cell r="AK7">
            <v>0</v>
          </cell>
          <cell r="AL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5</v>
          </cell>
          <cell r="AV7">
            <v>0</v>
          </cell>
          <cell r="AW7">
            <v>0</v>
          </cell>
          <cell r="AX7" t="str">
            <v>기간제</v>
          </cell>
          <cell r="AY7">
            <v>265</v>
          </cell>
          <cell r="AZ7">
            <v>45500</v>
          </cell>
          <cell r="BA7">
            <v>12057500</v>
          </cell>
          <cell r="BB7">
            <v>360000</v>
          </cell>
          <cell r="BC7">
            <v>960000</v>
          </cell>
          <cell r="BD7">
            <v>0</v>
          </cell>
          <cell r="BE7">
            <v>0</v>
          </cell>
          <cell r="BF7">
            <v>0</v>
          </cell>
          <cell r="BH7">
            <v>0</v>
          </cell>
          <cell r="BK7">
            <v>13377500</v>
          </cell>
          <cell r="BL7">
            <v>1004790</v>
          </cell>
          <cell r="BN7">
            <v>0</v>
          </cell>
          <cell r="BO7">
            <v>200000</v>
          </cell>
          <cell r="BP7">
            <v>350000</v>
          </cell>
          <cell r="BQ7">
            <v>546000</v>
          </cell>
          <cell r="BU7">
            <v>14473500</v>
          </cell>
          <cell r="BV7">
            <v>1</v>
          </cell>
          <cell r="BY7">
            <v>1410</v>
          </cell>
          <cell r="BZ7">
            <v>140</v>
          </cell>
          <cell r="CA7">
            <v>547980</v>
          </cell>
          <cell r="CB7">
            <v>366530</v>
          </cell>
          <cell r="CC7">
            <v>66970</v>
          </cell>
        </row>
        <row r="8">
          <cell r="A8">
            <v>7</v>
          </cell>
          <cell r="B8" t="str">
            <v>오순이</v>
          </cell>
          <cell r="C8" t="str">
            <v>조리원</v>
          </cell>
          <cell r="D8" t="str">
            <v>101010-1000006</v>
          </cell>
          <cell r="E8" t="str">
            <v>미래시 미래동 미래아파트 100-106</v>
          </cell>
          <cell r="F8">
            <v>40343</v>
          </cell>
          <cell r="G8">
            <v>40968</v>
          </cell>
          <cell r="H8">
            <v>1</v>
          </cell>
          <cell r="I8">
            <v>8</v>
          </cell>
          <cell r="J8">
            <v>16</v>
          </cell>
          <cell r="K8">
            <v>39946</v>
          </cell>
          <cell r="L8">
            <v>40178</v>
          </cell>
          <cell r="M8">
            <v>0</v>
          </cell>
          <cell r="N8">
            <v>7</v>
          </cell>
          <cell r="O8">
            <v>18</v>
          </cell>
          <cell r="R8">
            <v>0</v>
          </cell>
          <cell r="S8">
            <v>0</v>
          </cell>
          <cell r="T8">
            <v>0</v>
          </cell>
          <cell r="W8">
            <v>0</v>
          </cell>
          <cell r="X8">
            <v>0</v>
          </cell>
          <cell r="Y8">
            <v>0</v>
          </cell>
          <cell r="AB8">
            <v>0</v>
          </cell>
          <cell r="AC8">
            <v>0</v>
          </cell>
          <cell r="AD8">
            <v>0</v>
          </cell>
          <cell r="AE8">
            <v>2</v>
          </cell>
          <cell r="AF8">
            <v>4</v>
          </cell>
          <cell r="AG8">
            <v>4</v>
          </cell>
          <cell r="AJ8">
            <v>0</v>
          </cell>
          <cell r="AK8">
            <v>0</v>
          </cell>
          <cell r="AL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2</v>
          </cell>
          <cell r="AV8">
            <v>4</v>
          </cell>
          <cell r="AW8">
            <v>4</v>
          </cell>
          <cell r="AX8" t="str">
            <v>기간제</v>
          </cell>
          <cell r="AY8">
            <v>265</v>
          </cell>
          <cell r="AZ8">
            <v>45500</v>
          </cell>
          <cell r="BA8">
            <v>12057500</v>
          </cell>
          <cell r="BB8">
            <v>0</v>
          </cell>
          <cell r="BC8">
            <v>960000</v>
          </cell>
          <cell r="BD8">
            <v>0</v>
          </cell>
          <cell r="BE8">
            <v>0</v>
          </cell>
          <cell r="BF8">
            <v>0</v>
          </cell>
          <cell r="BH8">
            <v>0</v>
          </cell>
          <cell r="BK8">
            <v>13017500</v>
          </cell>
          <cell r="BL8">
            <v>1004790</v>
          </cell>
          <cell r="BN8">
            <v>0</v>
          </cell>
          <cell r="BO8">
            <v>200000</v>
          </cell>
          <cell r="BP8">
            <v>350000</v>
          </cell>
          <cell r="BQ8">
            <v>455000</v>
          </cell>
          <cell r="BU8">
            <v>14022500</v>
          </cell>
          <cell r="BV8">
            <v>1</v>
          </cell>
          <cell r="BY8">
            <v>0</v>
          </cell>
          <cell r="BZ8">
            <v>0</v>
          </cell>
          <cell r="CA8">
            <v>531780</v>
          </cell>
          <cell r="CB8">
            <v>355700</v>
          </cell>
          <cell r="CC8">
            <v>64990</v>
          </cell>
        </row>
        <row r="9">
          <cell r="A9">
            <v>8</v>
          </cell>
          <cell r="B9" t="str">
            <v>미순이</v>
          </cell>
          <cell r="C9" t="str">
            <v>조리원</v>
          </cell>
          <cell r="D9" t="str">
            <v>101010-1000007</v>
          </cell>
          <cell r="E9" t="str">
            <v>미래시 미래동 미래아파트 100-107</v>
          </cell>
          <cell r="F9">
            <v>40422</v>
          </cell>
          <cell r="G9">
            <v>40968</v>
          </cell>
          <cell r="H9">
            <v>1</v>
          </cell>
          <cell r="I9">
            <v>6</v>
          </cell>
          <cell r="J9">
            <v>0</v>
          </cell>
          <cell r="M9">
            <v>0</v>
          </cell>
          <cell r="N9">
            <v>0</v>
          </cell>
          <cell r="O9">
            <v>0</v>
          </cell>
          <cell r="R9">
            <v>0</v>
          </cell>
          <cell r="S9">
            <v>0</v>
          </cell>
          <cell r="T9">
            <v>0</v>
          </cell>
          <cell r="W9">
            <v>0</v>
          </cell>
          <cell r="X9">
            <v>0</v>
          </cell>
          <cell r="Y9">
            <v>0</v>
          </cell>
          <cell r="AB9">
            <v>0</v>
          </cell>
          <cell r="AC9">
            <v>0</v>
          </cell>
          <cell r="AD9">
            <v>0</v>
          </cell>
          <cell r="AE9">
            <v>1</v>
          </cell>
          <cell r="AF9">
            <v>6</v>
          </cell>
          <cell r="AG9">
            <v>0</v>
          </cell>
          <cell r="AJ9">
            <v>0</v>
          </cell>
          <cell r="AK9">
            <v>0</v>
          </cell>
          <cell r="AL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1</v>
          </cell>
          <cell r="AV9">
            <v>6</v>
          </cell>
          <cell r="AW9">
            <v>0</v>
          </cell>
          <cell r="AX9" t="str">
            <v>기간제</v>
          </cell>
          <cell r="AY9">
            <v>265</v>
          </cell>
          <cell r="AZ9">
            <v>45500</v>
          </cell>
          <cell r="BA9">
            <v>12057500</v>
          </cell>
          <cell r="BB9">
            <v>0</v>
          </cell>
          <cell r="BC9">
            <v>960000</v>
          </cell>
          <cell r="BD9">
            <v>0</v>
          </cell>
          <cell r="BE9">
            <v>0</v>
          </cell>
          <cell r="BF9">
            <v>0</v>
          </cell>
          <cell r="BH9">
            <v>0</v>
          </cell>
          <cell r="BK9">
            <v>13017500</v>
          </cell>
          <cell r="BL9">
            <v>1004790</v>
          </cell>
          <cell r="BN9">
            <v>0</v>
          </cell>
          <cell r="BO9">
            <v>200000</v>
          </cell>
          <cell r="BP9">
            <v>350000</v>
          </cell>
          <cell r="BQ9">
            <v>455000</v>
          </cell>
          <cell r="BU9">
            <v>14022500</v>
          </cell>
          <cell r="BV9">
            <v>1</v>
          </cell>
          <cell r="BY9">
            <v>0</v>
          </cell>
          <cell r="BZ9">
            <v>0</v>
          </cell>
          <cell r="CA9">
            <v>531780</v>
          </cell>
          <cell r="CB9">
            <v>355700</v>
          </cell>
          <cell r="CC9">
            <v>64990</v>
          </cell>
        </row>
        <row r="10">
          <cell r="A10">
            <v>9</v>
          </cell>
          <cell r="B10" t="str">
            <v>신순이</v>
          </cell>
          <cell r="C10" t="str">
            <v>조리원</v>
          </cell>
          <cell r="D10" t="str">
            <v>101010-1000008</v>
          </cell>
          <cell r="E10" t="str">
            <v>미래시 미래동 미래아파트 100-108</v>
          </cell>
          <cell r="F10">
            <v>40659</v>
          </cell>
          <cell r="G10">
            <v>40968</v>
          </cell>
          <cell r="H10">
            <v>0</v>
          </cell>
          <cell r="I10">
            <v>10</v>
          </cell>
          <cell r="J10">
            <v>4</v>
          </cell>
          <cell r="K10">
            <v>39854</v>
          </cell>
          <cell r="L10">
            <v>40084</v>
          </cell>
          <cell r="M10">
            <v>0</v>
          </cell>
          <cell r="N10">
            <v>7</v>
          </cell>
          <cell r="O10">
            <v>19</v>
          </cell>
          <cell r="P10">
            <v>40085</v>
          </cell>
          <cell r="Q10">
            <v>40654</v>
          </cell>
          <cell r="R10">
            <v>1</v>
          </cell>
          <cell r="S10">
            <v>6</v>
          </cell>
          <cell r="T10">
            <v>23</v>
          </cell>
          <cell r="W10">
            <v>0</v>
          </cell>
          <cell r="X10">
            <v>0</v>
          </cell>
          <cell r="Y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3</v>
          </cell>
          <cell r="AF10">
            <v>0</v>
          </cell>
          <cell r="AG10">
            <v>16</v>
          </cell>
          <cell r="AJ10">
            <v>0</v>
          </cell>
          <cell r="AK10">
            <v>0</v>
          </cell>
          <cell r="AL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3</v>
          </cell>
          <cell r="AV10">
            <v>0</v>
          </cell>
          <cell r="AW10">
            <v>16</v>
          </cell>
          <cell r="AX10" t="str">
            <v>기간제</v>
          </cell>
          <cell r="AY10">
            <v>265</v>
          </cell>
          <cell r="AZ10">
            <v>45500</v>
          </cell>
          <cell r="BA10">
            <v>12057500</v>
          </cell>
          <cell r="BB10">
            <v>360000</v>
          </cell>
          <cell r="BC10">
            <v>960000</v>
          </cell>
          <cell r="BD10">
            <v>0</v>
          </cell>
          <cell r="BE10">
            <v>0</v>
          </cell>
          <cell r="BF10">
            <v>0</v>
          </cell>
          <cell r="BH10">
            <v>0</v>
          </cell>
          <cell r="BK10">
            <v>13377500</v>
          </cell>
          <cell r="BL10">
            <v>1004790</v>
          </cell>
          <cell r="BN10">
            <v>0</v>
          </cell>
          <cell r="BO10">
            <v>200000</v>
          </cell>
          <cell r="BP10">
            <v>350000</v>
          </cell>
          <cell r="BQ10">
            <v>500500</v>
          </cell>
          <cell r="BU10">
            <v>14428000</v>
          </cell>
          <cell r="BV10">
            <v>1</v>
          </cell>
          <cell r="BY10">
            <v>1360</v>
          </cell>
          <cell r="BZ10">
            <v>130</v>
          </cell>
          <cell r="CA10">
            <v>547980</v>
          </cell>
          <cell r="CB10">
            <v>366530</v>
          </cell>
          <cell r="CC10">
            <v>66970</v>
          </cell>
        </row>
        <row r="11">
          <cell r="A11">
            <v>10</v>
          </cell>
          <cell r="B11" t="str">
            <v>유순이</v>
          </cell>
          <cell r="C11" t="str">
            <v>조리원</v>
          </cell>
          <cell r="D11" t="str">
            <v>101010-1000009</v>
          </cell>
          <cell r="E11" t="str">
            <v>미래시 미래동 미래아파트 100-109</v>
          </cell>
          <cell r="F11">
            <v>40616</v>
          </cell>
          <cell r="G11">
            <v>40968</v>
          </cell>
          <cell r="H11">
            <v>0</v>
          </cell>
          <cell r="I11">
            <v>11</v>
          </cell>
          <cell r="J11">
            <v>16</v>
          </cell>
          <cell r="M11">
            <v>0</v>
          </cell>
          <cell r="N11">
            <v>0</v>
          </cell>
          <cell r="O11">
            <v>0</v>
          </cell>
          <cell r="R11">
            <v>0</v>
          </cell>
          <cell r="S11">
            <v>0</v>
          </cell>
          <cell r="T11">
            <v>0</v>
          </cell>
          <cell r="W11">
            <v>0</v>
          </cell>
          <cell r="X11">
            <v>0</v>
          </cell>
          <cell r="Y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11</v>
          </cell>
          <cell r="AG11">
            <v>16</v>
          </cell>
          <cell r="AJ11">
            <v>0</v>
          </cell>
          <cell r="AK11">
            <v>0</v>
          </cell>
          <cell r="AL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11</v>
          </cell>
          <cell r="AW11">
            <v>16</v>
          </cell>
          <cell r="AX11" t="str">
            <v>기간제</v>
          </cell>
          <cell r="AY11">
            <v>265</v>
          </cell>
          <cell r="AZ11">
            <v>45500</v>
          </cell>
          <cell r="BA11">
            <v>12057500</v>
          </cell>
          <cell r="BB11">
            <v>0</v>
          </cell>
          <cell r="BC11">
            <v>960000</v>
          </cell>
          <cell r="BD11">
            <v>0</v>
          </cell>
          <cell r="BE11">
            <v>0</v>
          </cell>
          <cell r="BF11">
            <v>0</v>
          </cell>
          <cell r="BH11">
            <v>0</v>
          </cell>
          <cell r="BK11">
            <v>13017500</v>
          </cell>
          <cell r="BL11">
            <v>1004790</v>
          </cell>
          <cell r="BN11">
            <v>0</v>
          </cell>
          <cell r="BO11">
            <v>200000</v>
          </cell>
          <cell r="BP11">
            <v>350000</v>
          </cell>
          <cell r="BQ11">
            <v>0</v>
          </cell>
          <cell r="BU11">
            <v>13567500</v>
          </cell>
          <cell r="BV11">
            <v>1</v>
          </cell>
          <cell r="BY11">
            <v>0</v>
          </cell>
          <cell r="BZ11">
            <v>0</v>
          </cell>
          <cell r="CA11">
            <v>531780</v>
          </cell>
          <cell r="CB11">
            <v>355700</v>
          </cell>
          <cell r="CC11">
            <v>64990</v>
          </cell>
        </row>
        <row r="12">
          <cell r="A12">
            <v>11</v>
          </cell>
          <cell r="B12" t="str">
            <v>술순이</v>
          </cell>
          <cell r="C12" t="str">
            <v>교무행정사</v>
          </cell>
          <cell r="D12" t="str">
            <v>101010-1000010</v>
          </cell>
          <cell r="E12" t="str">
            <v>미래시 미래동 미래아파트 100-110</v>
          </cell>
          <cell r="F12">
            <v>38778</v>
          </cell>
          <cell r="G12">
            <v>40968</v>
          </cell>
          <cell r="H12">
            <v>5</v>
          </cell>
          <cell r="I12">
            <v>11</v>
          </cell>
          <cell r="J12">
            <v>28</v>
          </cell>
          <cell r="K12">
            <v>38412</v>
          </cell>
          <cell r="L12">
            <v>38776</v>
          </cell>
          <cell r="M12">
            <v>1</v>
          </cell>
          <cell r="N12">
            <v>0</v>
          </cell>
          <cell r="O12">
            <v>0</v>
          </cell>
          <cell r="R12">
            <v>0</v>
          </cell>
          <cell r="S12">
            <v>0</v>
          </cell>
          <cell r="T12">
            <v>0</v>
          </cell>
          <cell r="W12">
            <v>0</v>
          </cell>
          <cell r="X12">
            <v>0</v>
          </cell>
          <cell r="Y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6</v>
          </cell>
          <cell r="AF12">
            <v>11</v>
          </cell>
          <cell r="AG12">
            <v>28</v>
          </cell>
          <cell r="AJ12">
            <v>0</v>
          </cell>
          <cell r="AK12">
            <v>0</v>
          </cell>
          <cell r="AL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6</v>
          </cell>
          <cell r="AV12">
            <v>11</v>
          </cell>
          <cell r="AW12">
            <v>28</v>
          </cell>
          <cell r="AX12" t="str">
            <v>무기</v>
          </cell>
          <cell r="AY12">
            <v>365</v>
          </cell>
          <cell r="AZ12">
            <v>45500</v>
          </cell>
          <cell r="BA12">
            <v>16607500</v>
          </cell>
          <cell r="BB12">
            <v>480000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H12">
            <v>0</v>
          </cell>
          <cell r="BK12">
            <v>17087500</v>
          </cell>
          <cell r="BL12">
            <v>1383950</v>
          </cell>
          <cell r="BN12">
            <v>0</v>
          </cell>
          <cell r="BO12">
            <v>200000</v>
          </cell>
          <cell r="BP12">
            <v>350000</v>
          </cell>
          <cell r="BQ12">
            <v>773500</v>
          </cell>
          <cell r="BU12">
            <v>18411000</v>
          </cell>
          <cell r="BV12">
            <v>1</v>
          </cell>
          <cell r="BY12">
            <v>7910</v>
          </cell>
          <cell r="BZ12">
            <v>790</v>
          </cell>
          <cell r="CA12">
            <v>714930</v>
          </cell>
          <cell r="CB12">
            <v>478200</v>
          </cell>
          <cell r="CC12">
            <v>87380</v>
          </cell>
        </row>
      </sheetData>
      <sheetData sheetId="2">
        <row r="1">
          <cell r="A1" t="str">
            <v>고유번호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  <cell r="C2">
            <v>1042700</v>
          </cell>
          <cell r="D2">
            <v>2362800</v>
          </cell>
          <cell r="E2">
            <v>1042700</v>
          </cell>
          <cell r="F2">
            <v>1042700</v>
          </cell>
          <cell r="G2">
            <v>1042700</v>
          </cell>
          <cell r="H2">
            <v>1042700</v>
          </cell>
          <cell r="I2">
            <v>1042700</v>
          </cell>
          <cell r="J2">
            <v>1042700</v>
          </cell>
          <cell r="K2">
            <v>1042700</v>
          </cell>
          <cell r="L2">
            <v>1042700</v>
          </cell>
          <cell r="M2">
            <v>1042700</v>
          </cell>
          <cell r="N2">
            <v>1042700</v>
          </cell>
        </row>
        <row r="3">
          <cell r="A3">
            <v>2</v>
          </cell>
          <cell r="B3" t="str">
            <v>을순이</v>
          </cell>
          <cell r="C3">
            <v>1055030</v>
          </cell>
          <cell r="D3">
            <v>3215040</v>
          </cell>
          <cell r="E3">
            <v>1055030</v>
          </cell>
          <cell r="F3">
            <v>1055030</v>
          </cell>
          <cell r="G3">
            <v>1055030</v>
          </cell>
          <cell r="H3">
            <v>1055030</v>
          </cell>
          <cell r="I3">
            <v>1055030</v>
          </cell>
          <cell r="J3">
            <v>1055030</v>
          </cell>
          <cell r="K3">
            <v>1055030</v>
          </cell>
          <cell r="L3">
            <v>1055030</v>
          </cell>
          <cell r="M3">
            <v>1055030</v>
          </cell>
          <cell r="N3">
            <v>1055030</v>
          </cell>
        </row>
        <row r="4">
          <cell r="A4">
            <v>3</v>
          </cell>
          <cell r="B4" t="str">
            <v>병순이</v>
          </cell>
          <cell r="C4">
            <v>1004790</v>
          </cell>
          <cell r="D4">
            <v>2444810</v>
          </cell>
          <cell r="E4">
            <v>1004790</v>
          </cell>
          <cell r="F4">
            <v>1004790</v>
          </cell>
          <cell r="G4">
            <v>1004790</v>
          </cell>
          <cell r="H4">
            <v>1004790</v>
          </cell>
          <cell r="I4">
            <v>1004790</v>
          </cell>
          <cell r="J4">
            <v>1004790</v>
          </cell>
          <cell r="K4">
            <v>1004790</v>
          </cell>
          <cell r="L4">
            <v>1004790</v>
          </cell>
          <cell r="M4">
            <v>1004790</v>
          </cell>
          <cell r="N4">
            <v>1004790</v>
          </cell>
        </row>
        <row r="5">
          <cell r="A5">
            <v>4</v>
          </cell>
          <cell r="B5" t="str">
            <v>정순이</v>
          </cell>
          <cell r="C5">
            <v>1004790</v>
          </cell>
          <cell r="D5">
            <v>2564810</v>
          </cell>
          <cell r="E5">
            <v>1004790</v>
          </cell>
          <cell r="F5">
            <v>1004790</v>
          </cell>
          <cell r="G5">
            <v>1004790</v>
          </cell>
          <cell r="H5">
            <v>1004790</v>
          </cell>
          <cell r="I5">
            <v>1004790</v>
          </cell>
          <cell r="J5">
            <v>1004790</v>
          </cell>
          <cell r="K5">
            <v>1004790</v>
          </cell>
          <cell r="L5">
            <v>1004790</v>
          </cell>
          <cell r="M5">
            <v>1004790</v>
          </cell>
          <cell r="N5">
            <v>1004790</v>
          </cell>
        </row>
        <row r="6">
          <cell r="A6">
            <v>5</v>
          </cell>
          <cell r="B6" t="str">
            <v>진순이</v>
          </cell>
          <cell r="C6">
            <v>1004790</v>
          </cell>
          <cell r="D6">
            <v>2324810</v>
          </cell>
          <cell r="E6">
            <v>1004790</v>
          </cell>
          <cell r="F6">
            <v>1004790</v>
          </cell>
          <cell r="G6">
            <v>1004790</v>
          </cell>
          <cell r="H6">
            <v>1004790</v>
          </cell>
          <cell r="I6">
            <v>1004790</v>
          </cell>
          <cell r="J6">
            <v>1004790</v>
          </cell>
          <cell r="K6">
            <v>1004790</v>
          </cell>
          <cell r="L6">
            <v>1004790</v>
          </cell>
          <cell r="M6">
            <v>1004790</v>
          </cell>
          <cell r="N6">
            <v>1004790</v>
          </cell>
        </row>
        <row r="7">
          <cell r="A7">
            <v>6</v>
          </cell>
          <cell r="B7" t="str">
            <v>사순이</v>
          </cell>
          <cell r="C7">
            <v>1004790</v>
          </cell>
          <cell r="D7">
            <v>2324810</v>
          </cell>
          <cell r="E7">
            <v>1004790</v>
          </cell>
          <cell r="F7">
            <v>1004790</v>
          </cell>
          <cell r="G7">
            <v>1004790</v>
          </cell>
          <cell r="H7">
            <v>1004790</v>
          </cell>
          <cell r="I7">
            <v>1004790</v>
          </cell>
          <cell r="J7">
            <v>1004790</v>
          </cell>
          <cell r="K7">
            <v>1004790</v>
          </cell>
          <cell r="L7">
            <v>1004790</v>
          </cell>
          <cell r="M7">
            <v>1004790</v>
          </cell>
          <cell r="N7">
            <v>1004790</v>
          </cell>
        </row>
        <row r="8">
          <cell r="A8">
            <v>7</v>
          </cell>
          <cell r="B8" t="str">
            <v>오순이</v>
          </cell>
          <cell r="C8">
            <v>1004790</v>
          </cell>
          <cell r="D8">
            <v>1964810</v>
          </cell>
          <cell r="E8">
            <v>1004790</v>
          </cell>
          <cell r="F8">
            <v>1004790</v>
          </cell>
          <cell r="G8">
            <v>1004790</v>
          </cell>
          <cell r="H8">
            <v>1004790</v>
          </cell>
          <cell r="I8">
            <v>1004790</v>
          </cell>
          <cell r="J8">
            <v>1004790</v>
          </cell>
          <cell r="K8">
            <v>1004790</v>
          </cell>
          <cell r="L8">
            <v>1004790</v>
          </cell>
          <cell r="M8">
            <v>1004790</v>
          </cell>
          <cell r="N8">
            <v>1004790</v>
          </cell>
        </row>
        <row r="9">
          <cell r="A9">
            <v>8</v>
          </cell>
          <cell r="B9" t="str">
            <v>미순이</v>
          </cell>
          <cell r="C9">
            <v>1004790</v>
          </cell>
          <cell r="D9">
            <v>1964810</v>
          </cell>
          <cell r="E9">
            <v>1004790</v>
          </cell>
          <cell r="F9">
            <v>1004790</v>
          </cell>
          <cell r="G9">
            <v>1004790</v>
          </cell>
          <cell r="H9">
            <v>1004790</v>
          </cell>
          <cell r="I9">
            <v>1004790</v>
          </cell>
          <cell r="J9">
            <v>1004790</v>
          </cell>
          <cell r="K9">
            <v>1004790</v>
          </cell>
          <cell r="L9">
            <v>1004790</v>
          </cell>
          <cell r="M9">
            <v>1004790</v>
          </cell>
          <cell r="N9">
            <v>1004790</v>
          </cell>
        </row>
        <row r="10">
          <cell r="A10">
            <v>9</v>
          </cell>
          <cell r="B10" t="str">
            <v>신순이</v>
          </cell>
          <cell r="C10">
            <v>1004790</v>
          </cell>
          <cell r="D10">
            <v>2324810</v>
          </cell>
          <cell r="E10">
            <v>1004790</v>
          </cell>
          <cell r="F10">
            <v>1004790</v>
          </cell>
          <cell r="G10">
            <v>1004790</v>
          </cell>
          <cell r="H10">
            <v>1004790</v>
          </cell>
          <cell r="I10">
            <v>1004790</v>
          </cell>
          <cell r="J10">
            <v>1004790</v>
          </cell>
          <cell r="K10">
            <v>1004790</v>
          </cell>
          <cell r="L10">
            <v>1004790</v>
          </cell>
          <cell r="M10">
            <v>1004790</v>
          </cell>
          <cell r="N10">
            <v>1004790</v>
          </cell>
        </row>
        <row r="11">
          <cell r="A11">
            <v>10</v>
          </cell>
          <cell r="B11" t="str">
            <v>유순이</v>
          </cell>
          <cell r="C11">
            <v>1004790</v>
          </cell>
          <cell r="D11">
            <v>1964810</v>
          </cell>
          <cell r="E11">
            <v>1004790</v>
          </cell>
          <cell r="F11">
            <v>1004790</v>
          </cell>
          <cell r="G11">
            <v>1004790</v>
          </cell>
          <cell r="H11">
            <v>1004790</v>
          </cell>
          <cell r="I11">
            <v>1004790</v>
          </cell>
          <cell r="J11">
            <v>1004790</v>
          </cell>
          <cell r="K11">
            <v>1004790</v>
          </cell>
          <cell r="L11">
            <v>1004790</v>
          </cell>
          <cell r="M11">
            <v>1004790</v>
          </cell>
          <cell r="N11">
            <v>1004790</v>
          </cell>
        </row>
        <row r="12">
          <cell r="A12">
            <v>11</v>
          </cell>
          <cell r="B12" t="str">
            <v>술순이</v>
          </cell>
          <cell r="C12">
            <v>1383950</v>
          </cell>
          <cell r="D12">
            <v>1864050</v>
          </cell>
          <cell r="E12">
            <v>1383950</v>
          </cell>
          <cell r="F12">
            <v>1383950</v>
          </cell>
          <cell r="G12">
            <v>1383950</v>
          </cell>
          <cell r="H12">
            <v>1383950</v>
          </cell>
          <cell r="I12">
            <v>1383950</v>
          </cell>
          <cell r="J12">
            <v>1383950</v>
          </cell>
          <cell r="K12">
            <v>1383950</v>
          </cell>
          <cell r="L12">
            <v>1383950</v>
          </cell>
          <cell r="M12">
            <v>1383950</v>
          </cell>
          <cell r="N12">
            <v>1383950</v>
          </cell>
        </row>
      </sheetData>
      <sheetData sheetId="3">
        <row r="1">
          <cell r="A1" t="str">
            <v>고유번호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  <cell r="C2">
            <v>30000</v>
          </cell>
          <cell r="D2">
            <v>30000</v>
          </cell>
          <cell r="E2">
            <v>30000</v>
          </cell>
          <cell r="F2">
            <v>30000</v>
          </cell>
          <cell r="G2">
            <v>30000</v>
          </cell>
          <cell r="H2">
            <v>30000</v>
          </cell>
          <cell r="I2">
            <v>30000</v>
          </cell>
          <cell r="J2">
            <v>30000</v>
          </cell>
          <cell r="K2">
            <v>30000</v>
          </cell>
          <cell r="L2">
            <v>30000</v>
          </cell>
          <cell r="M2">
            <v>30000</v>
          </cell>
          <cell r="N2">
            <v>30000</v>
          </cell>
        </row>
        <row r="3">
          <cell r="A3">
            <v>2</v>
          </cell>
          <cell r="B3" t="str">
            <v>을순이</v>
          </cell>
          <cell r="C3">
            <v>50000</v>
          </cell>
          <cell r="D3">
            <v>50000</v>
          </cell>
          <cell r="E3">
            <v>50000</v>
          </cell>
          <cell r="F3">
            <v>50000</v>
          </cell>
          <cell r="G3">
            <v>50000</v>
          </cell>
          <cell r="H3">
            <v>50000</v>
          </cell>
          <cell r="I3">
            <v>50000</v>
          </cell>
          <cell r="J3">
            <v>50000</v>
          </cell>
          <cell r="K3">
            <v>50000</v>
          </cell>
          <cell r="L3">
            <v>50000</v>
          </cell>
          <cell r="M3">
            <v>50000</v>
          </cell>
          <cell r="N3">
            <v>50000</v>
          </cell>
        </row>
        <row r="4">
          <cell r="A4">
            <v>3</v>
          </cell>
          <cell r="B4" t="str">
            <v>병순이</v>
          </cell>
          <cell r="C4">
            <v>40000</v>
          </cell>
          <cell r="D4">
            <v>40000</v>
          </cell>
          <cell r="E4">
            <v>40000</v>
          </cell>
          <cell r="F4">
            <v>40000</v>
          </cell>
          <cell r="G4">
            <v>40000</v>
          </cell>
          <cell r="H4">
            <v>40000</v>
          </cell>
          <cell r="I4">
            <v>40000</v>
          </cell>
          <cell r="J4">
            <v>40000</v>
          </cell>
          <cell r="K4">
            <v>40000</v>
          </cell>
          <cell r="L4">
            <v>40000</v>
          </cell>
          <cell r="M4">
            <v>40000</v>
          </cell>
          <cell r="N4">
            <v>40000</v>
          </cell>
        </row>
        <row r="5">
          <cell r="A5">
            <v>4</v>
          </cell>
          <cell r="B5" t="str">
            <v>정순이</v>
          </cell>
          <cell r="C5">
            <v>50000</v>
          </cell>
          <cell r="D5">
            <v>50000</v>
          </cell>
          <cell r="E5">
            <v>50000</v>
          </cell>
          <cell r="F5">
            <v>50000</v>
          </cell>
          <cell r="G5">
            <v>50000</v>
          </cell>
          <cell r="H5">
            <v>50000</v>
          </cell>
          <cell r="I5">
            <v>50000</v>
          </cell>
          <cell r="J5">
            <v>50000</v>
          </cell>
          <cell r="K5">
            <v>50000</v>
          </cell>
          <cell r="L5">
            <v>50000</v>
          </cell>
          <cell r="M5">
            <v>50000</v>
          </cell>
          <cell r="N5">
            <v>50000</v>
          </cell>
        </row>
        <row r="6">
          <cell r="A6">
            <v>5</v>
          </cell>
          <cell r="B6" t="str">
            <v>진순이</v>
          </cell>
          <cell r="C6">
            <v>30000</v>
          </cell>
          <cell r="D6">
            <v>30000</v>
          </cell>
          <cell r="E6">
            <v>30000</v>
          </cell>
          <cell r="F6">
            <v>30000</v>
          </cell>
          <cell r="G6">
            <v>30000</v>
          </cell>
          <cell r="H6">
            <v>30000</v>
          </cell>
          <cell r="I6">
            <v>30000</v>
          </cell>
          <cell r="J6">
            <v>30000</v>
          </cell>
          <cell r="K6">
            <v>30000</v>
          </cell>
          <cell r="L6">
            <v>30000</v>
          </cell>
          <cell r="M6">
            <v>30000</v>
          </cell>
          <cell r="N6">
            <v>30000</v>
          </cell>
        </row>
        <row r="7">
          <cell r="A7">
            <v>6</v>
          </cell>
          <cell r="B7" t="str">
            <v>사순이</v>
          </cell>
          <cell r="C7">
            <v>30000</v>
          </cell>
          <cell r="D7">
            <v>30000</v>
          </cell>
          <cell r="E7">
            <v>30000</v>
          </cell>
          <cell r="F7">
            <v>30000</v>
          </cell>
          <cell r="G7">
            <v>30000</v>
          </cell>
          <cell r="H7">
            <v>30000</v>
          </cell>
          <cell r="I7">
            <v>30000</v>
          </cell>
          <cell r="J7">
            <v>30000</v>
          </cell>
          <cell r="K7">
            <v>30000</v>
          </cell>
          <cell r="L7">
            <v>30000</v>
          </cell>
          <cell r="M7">
            <v>30000</v>
          </cell>
          <cell r="N7">
            <v>30000</v>
          </cell>
        </row>
        <row r="8">
          <cell r="A8">
            <v>7</v>
          </cell>
          <cell r="B8" t="str">
            <v>오순이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8</v>
          </cell>
          <cell r="B9" t="str">
            <v>미순이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9</v>
          </cell>
          <cell r="B10" t="str">
            <v>신순이</v>
          </cell>
          <cell r="C10">
            <v>30000</v>
          </cell>
          <cell r="D10">
            <v>30000</v>
          </cell>
          <cell r="E10">
            <v>30000</v>
          </cell>
          <cell r="F10">
            <v>30000</v>
          </cell>
          <cell r="G10">
            <v>30000</v>
          </cell>
          <cell r="H10">
            <v>30000</v>
          </cell>
          <cell r="I10">
            <v>30000</v>
          </cell>
          <cell r="J10">
            <v>30000</v>
          </cell>
          <cell r="K10">
            <v>30000</v>
          </cell>
          <cell r="L10">
            <v>30000</v>
          </cell>
          <cell r="M10">
            <v>30000</v>
          </cell>
          <cell r="N10">
            <v>30000</v>
          </cell>
        </row>
        <row r="11">
          <cell r="A11">
            <v>10</v>
          </cell>
          <cell r="B11" t="str">
            <v>유순이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11</v>
          </cell>
          <cell r="B12" t="str">
            <v>술순이</v>
          </cell>
          <cell r="C12">
            <v>40000</v>
          </cell>
          <cell r="D12">
            <v>40000</v>
          </cell>
          <cell r="E12">
            <v>40000</v>
          </cell>
          <cell r="F12">
            <v>40000</v>
          </cell>
          <cell r="G12">
            <v>40000</v>
          </cell>
          <cell r="H12">
            <v>40000</v>
          </cell>
          <cell r="I12">
            <v>40000</v>
          </cell>
          <cell r="J12">
            <v>40000</v>
          </cell>
          <cell r="K12">
            <v>40000</v>
          </cell>
          <cell r="L12">
            <v>40000</v>
          </cell>
          <cell r="M12">
            <v>40000</v>
          </cell>
          <cell r="N12">
            <v>40000</v>
          </cell>
        </row>
      </sheetData>
      <sheetData sheetId="4">
        <row r="1">
          <cell r="A1" t="str">
            <v>고유번호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  <cell r="C2">
            <v>80000</v>
          </cell>
          <cell r="D2">
            <v>80000</v>
          </cell>
          <cell r="E2">
            <v>80000</v>
          </cell>
          <cell r="F2">
            <v>80000</v>
          </cell>
          <cell r="G2">
            <v>80000</v>
          </cell>
          <cell r="H2">
            <v>80000</v>
          </cell>
          <cell r="I2">
            <v>80000</v>
          </cell>
          <cell r="J2">
            <v>80000</v>
          </cell>
          <cell r="K2">
            <v>80000</v>
          </cell>
          <cell r="L2">
            <v>80000</v>
          </cell>
          <cell r="M2">
            <v>80000</v>
          </cell>
          <cell r="N2">
            <v>80000</v>
          </cell>
        </row>
        <row r="3">
          <cell r="A3">
            <v>2</v>
          </cell>
          <cell r="B3" t="str">
            <v>을순이</v>
          </cell>
          <cell r="C3">
            <v>80000</v>
          </cell>
          <cell r="D3">
            <v>80000</v>
          </cell>
          <cell r="E3">
            <v>80000</v>
          </cell>
          <cell r="F3">
            <v>80000</v>
          </cell>
          <cell r="G3">
            <v>80000</v>
          </cell>
          <cell r="H3">
            <v>80000</v>
          </cell>
          <cell r="I3">
            <v>80000</v>
          </cell>
          <cell r="J3">
            <v>80000</v>
          </cell>
          <cell r="K3">
            <v>80000</v>
          </cell>
          <cell r="L3">
            <v>80000</v>
          </cell>
          <cell r="M3">
            <v>80000</v>
          </cell>
          <cell r="N3">
            <v>80000</v>
          </cell>
        </row>
        <row r="4">
          <cell r="A4">
            <v>3</v>
          </cell>
          <cell r="B4" t="str">
            <v>병순이</v>
          </cell>
          <cell r="C4">
            <v>80000</v>
          </cell>
          <cell r="D4">
            <v>80000</v>
          </cell>
          <cell r="E4">
            <v>80000</v>
          </cell>
          <cell r="F4">
            <v>80000</v>
          </cell>
          <cell r="G4">
            <v>80000</v>
          </cell>
          <cell r="H4">
            <v>80000</v>
          </cell>
          <cell r="I4">
            <v>80000</v>
          </cell>
          <cell r="J4">
            <v>80000</v>
          </cell>
          <cell r="K4">
            <v>80000</v>
          </cell>
          <cell r="L4">
            <v>80000</v>
          </cell>
          <cell r="M4">
            <v>80000</v>
          </cell>
          <cell r="N4">
            <v>80000</v>
          </cell>
        </row>
        <row r="5">
          <cell r="A5">
            <v>4</v>
          </cell>
          <cell r="B5" t="str">
            <v>정순이</v>
          </cell>
          <cell r="C5">
            <v>80000</v>
          </cell>
          <cell r="D5">
            <v>80000</v>
          </cell>
          <cell r="E5">
            <v>80000</v>
          </cell>
          <cell r="F5">
            <v>80000</v>
          </cell>
          <cell r="G5">
            <v>80000</v>
          </cell>
          <cell r="H5">
            <v>80000</v>
          </cell>
          <cell r="I5">
            <v>80000</v>
          </cell>
          <cell r="J5">
            <v>80000</v>
          </cell>
          <cell r="K5">
            <v>80000</v>
          </cell>
          <cell r="L5">
            <v>80000</v>
          </cell>
          <cell r="M5">
            <v>80000</v>
          </cell>
          <cell r="N5">
            <v>80000</v>
          </cell>
        </row>
        <row r="6">
          <cell r="A6">
            <v>5</v>
          </cell>
          <cell r="B6" t="str">
            <v>진순이</v>
          </cell>
          <cell r="C6">
            <v>80000</v>
          </cell>
          <cell r="D6">
            <v>80000</v>
          </cell>
          <cell r="E6">
            <v>80000</v>
          </cell>
          <cell r="F6">
            <v>80000</v>
          </cell>
          <cell r="G6">
            <v>80000</v>
          </cell>
          <cell r="H6">
            <v>80000</v>
          </cell>
          <cell r="I6">
            <v>80000</v>
          </cell>
          <cell r="J6">
            <v>80000</v>
          </cell>
          <cell r="K6">
            <v>80000</v>
          </cell>
          <cell r="L6">
            <v>80000</v>
          </cell>
          <cell r="M6">
            <v>80000</v>
          </cell>
          <cell r="N6">
            <v>80000</v>
          </cell>
        </row>
        <row r="7">
          <cell r="A7">
            <v>6</v>
          </cell>
          <cell r="B7" t="str">
            <v>사순이</v>
          </cell>
          <cell r="C7">
            <v>80000</v>
          </cell>
          <cell r="D7">
            <v>80000</v>
          </cell>
          <cell r="E7">
            <v>80000</v>
          </cell>
          <cell r="F7">
            <v>80000</v>
          </cell>
          <cell r="G7">
            <v>80000</v>
          </cell>
          <cell r="H7">
            <v>80000</v>
          </cell>
          <cell r="I7">
            <v>80000</v>
          </cell>
          <cell r="J7">
            <v>80000</v>
          </cell>
          <cell r="K7">
            <v>80000</v>
          </cell>
          <cell r="L7">
            <v>80000</v>
          </cell>
          <cell r="M7">
            <v>80000</v>
          </cell>
          <cell r="N7">
            <v>80000</v>
          </cell>
        </row>
        <row r="8">
          <cell r="A8">
            <v>7</v>
          </cell>
          <cell r="B8" t="str">
            <v>오순이</v>
          </cell>
          <cell r="C8">
            <v>80000</v>
          </cell>
          <cell r="D8">
            <v>80000</v>
          </cell>
          <cell r="E8">
            <v>80000</v>
          </cell>
          <cell r="F8">
            <v>80000</v>
          </cell>
          <cell r="G8">
            <v>80000</v>
          </cell>
          <cell r="H8">
            <v>80000</v>
          </cell>
          <cell r="I8">
            <v>80000</v>
          </cell>
          <cell r="J8">
            <v>80000</v>
          </cell>
          <cell r="K8">
            <v>80000</v>
          </cell>
          <cell r="L8">
            <v>80000</v>
          </cell>
          <cell r="M8">
            <v>80000</v>
          </cell>
          <cell r="N8">
            <v>80000</v>
          </cell>
        </row>
        <row r="9">
          <cell r="A9">
            <v>8</v>
          </cell>
          <cell r="B9" t="str">
            <v>미순이</v>
          </cell>
          <cell r="C9">
            <v>80000</v>
          </cell>
          <cell r="D9">
            <v>80000</v>
          </cell>
          <cell r="E9">
            <v>80000</v>
          </cell>
          <cell r="F9">
            <v>80000</v>
          </cell>
          <cell r="G9">
            <v>80000</v>
          </cell>
          <cell r="H9">
            <v>80000</v>
          </cell>
          <cell r="I9">
            <v>80000</v>
          </cell>
          <cell r="J9">
            <v>80000</v>
          </cell>
          <cell r="K9">
            <v>80000</v>
          </cell>
          <cell r="L9">
            <v>80000</v>
          </cell>
          <cell r="M9">
            <v>80000</v>
          </cell>
          <cell r="N9">
            <v>80000</v>
          </cell>
        </row>
        <row r="10">
          <cell r="A10">
            <v>9</v>
          </cell>
          <cell r="B10" t="str">
            <v>신순이</v>
          </cell>
          <cell r="C10">
            <v>80000</v>
          </cell>
          <cell r="D10">
            <v>80000</v>
          </cell>
          <cell r="E10">
            <v>80000</v>
          </cell>
          <cell r="F10">
            <v>80000</v>
          </cell>
          <cell r="G10">
            <v>80000</v>
          </cell>
          <cell r="H10">
            <v>80000</v>
          </cell>
          <cell r="I10">
            <v>80000</v>
          </cell>
          <cell r="J10">
            <v>80000</v>
          </cell>
          <cell r="K10">
            <v>80000</v>
          </cell>
          <cell r="L10">
            <v>80000</v>
          </cell>
          <cell r="M10">
            <v>80000</v>
          </cell>
          <cell r="N10">
            <v>80000</v>
          </cell>
        </row>
        <row r="11">
          <cell r="A11">
            <v>10</v>
          </cell>
          <cell r="B11" t="str">
            <v>유순이</v>
          </cell>
          <cell r="C11">
            <v>80000</v>
          </cell>
          <cell r="D11">
            <v>80000</v>
          </cell>
          <cell r="E11">
            <v>80000</v>
          </cell>
          <cell r="F11">
            <v>80000</v>
          </cell>
          <cell r="G11">
            <v>80000</v>
          </cell>
          <cell r="H11">
            <v>80000</v>
          </cell>
          <cell r="I11">
            <v>80000</v>
          </cell>
          <cell r="J11">
            <v>80000</v>
          </cell>
          <cell r="K11">
            <v>80000</v>
          </cell>
          <cell r="L11">
            <v>80000</v>
          </cell>
          <cell r="M11">
            <v>80000</v>
          </cell>
          <cell r="N11">
            <v>80000</v>
          </cell>
        </row>
        <row r="12">
          <cell r="A12">
            <v>11</v>
          </cell>
          <cell r="B12" t="str">
            <v>술순이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</sheetData>
      <sheetData sheetId="5">
        <row r="1">
          <cell r="A1" t="str">
            <v>고유번호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2</v>
          </cell>
          <cell r="B3" t="str">
            <v>을순이</v>
          </cell>
          <cell r="C3">
            <v>50000</v>
          </cell>
          <cell r="D3">
            <v>50000</v>
          </cell>
          <cell r="E3">
            <v>50000</v>
          </cell>
          <cell r="F3">
            <v>50000</v>
          </cell>
          <cell r="G3">
            <v>50000</v>
          </cell>
          <cell r="H3">
            <v>50000</v>
          </cell>
          <cell r="I3">
            <v>50000</v>
          </cell>
          <cell r="J3">
            <v>50000</v>
          </cell>
          <cell r="K3">
            <v>50000</v>
          </cell>
          <cell r="L3">
            <v>50000</v>
          </cell>
          <cell r="M3">
            <v>50000</v>
          </cell>
          <cell r="N3">
            <v>50000</v>
          </cell>
        </row>
        <row r="4">
          <cell r="A4">
            <v>3</v>
          </cell>
          <cell r="B4" t="str">
            <v>병순이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4</v>
          </cell>
          <cell r="B5" t="str">
            <v>정순이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A6">
            <v>5</v>
          </cell>
          <cell r="B6" t="str">
            <v>진순이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6</v>
          </cell>
          <cell r="B7" t="str">
            <v>사순이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7</v>
          </cell>
          <cell r="B8" t="str">
            <v>오순이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8</v>
          </cell>
          <cell r="B9" t="str">
            <v>미순이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9</v>
          </cell>
          <cell r="B10" t="str">
            <v>신순이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10</v>
          </cell>
          <cell r="B11" t="str">
            <v>유순이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11</v>
          </cell>
          <cell r="B12" t="str">
            <v>술순이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</sheetData>
      <sheetData sheetId="6">
        <row r="1">
          <cell r="A1" t="str">
            <v>고유번호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</row>
        <row r="3">
          <cell r="A3">
            <v>2</v>
          </cell>
          <cell r="B3" t="str">
            <v>을순이</v>
          </cell>
        </row>
        <row r="4">
          <cell r="A4">
            <v>3</v>
          </cell>
          <cell r="B4" t="str">
            <v>병순이</v>
          </cell>
        </row>
        <row r="5">
          <cell r="A5">
            <v>4</v>
          </cell>
          <cell r="B5" t="str">
            <v>정순이</v>
          </cell>
        </row>
        <row r="6">
          <cell r="A6">
            <v>5</v>
          </cell>
          <cell r="B6" t="str">
            <v>진순이</v>
          </cell>
        </row>
        <row r="7">
          <cell r="A7">
            <v>6</v>
          </cell>
          <cell r="B7" t="str">
            <v>사순이</v>
          </cell>
        </row>
        <row r="8">
          <cell r="A8">
            <v>7</v>
          </cell>
          <cell r="B8" t="str">
            <v>오순이</v>
          </cell>
        </row>
        <row r="9">
          <cell r="A9">
            <v>8</v>
          </cell>
          <cell r="B9" t="str">
            <v>미순이</v>
          </cell>
        </row>
        <row r="10">
          <cell r="A10">
            <v>9</v>
          </cell>
          <cell r="B10" t="str">
            <v>신순이</v>
          </cell>
        </row>
        <row r="11">
          <cell r="A11">
            <v>10</v>
          </cell>
          <cell r="B11" t="str">
            <v>유순이</v>
          </cell>
        </row>
        <row r="12">
          <cell r="A12">
            <v>11</v>
          </cell>
          <cell r="B12" t="str">
            <v>술순이</v>
          </cell>
        </row>
      </sheetData>
      <sheetData sheetId="7">
        <row r="1">
          <cell r="A1" t="str">
            <v>고유번호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</row>
        <row r="3">
          <cell r="A3">
            <v>2</v>
          </cell>
          <cell r="B3" t="str">
            <v>을순이</v>
          </cell>
        </row>
        <row r="4">
          <cell r="A4">
            <v>3</v>
          </cell>
          <cell r="B4" t="str">
            <v>병순이</v>
          </cell>
        </row>
        <row r="5">
          <cell r="A5">
            <v>4</v>
          </cell>
          <cell r="B5" t="str">
            <v>정순이</v>
          </cell>
        </row>
        <row r="6">
          <cell r="A6">
            <v>5</v>
          </cell>
          <cell r="B6" t="str">
            <v>진순이</v>
          </cell>
        </row>
        <row r="7">
          <cell r="A7">
            <v>6</v>
          </cell>
          <cell r="B7" t="str">
            <v>사순이</v>
          </cell>
        </row>
        <row r="8">
          <cell r="A8">
            <v>7</v>
          </cell>
          <cell r="B8" t="str">
            <v>오순이</v>
          </cell>
        </row>
        <row r="9">
          <cell r="A9">
            <v>8</v>
          </cell>
          <cell r="B9" t="str">
            <v>미순이</v>
          </cell>
        </row>
        <row r="10">
          <cell r="A10">
            <v>9</v>
          </cell>
          <cell r="B10" t="str">
            <v>신순이</v>
          </cell>
        </row>
        <row r="11">
          <cell r="A11">
            <v>10</v>
          </cell>
          <cell r="B11" t="str">
            <v>유순이</v>
          </cell>
        </row>
        <row r="12">
          <cell r="A12">
            <v>11</v>
          </cell>
          <cell r="B12" t="str">
            <v>술순이</v>
          </cell>
        </row>
      </sheetData>
      <sheetData sheetId="8">
        <row r="1">
          <cell r="A1" t="str">
            <v>고유번호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</row>
        <row r="3">
          <cell r="A3">
            <v>2</v>
          </cell>
          <cell r="B3" t="str">
            <v>을순이</v>
          </cell>
        </row>
        <row r="4">
          <cell r="A4">
            <v>3</v>
          </cell>
          <cell r="B4" t="str">
            <v>병순이</v>
          </cell>
        </row>
        <row r="5">
          <cell r="A5">
            <v>4</v>
          </cell>
          <cell r="B5" t="str">
            <v>정순이</v>
          </cell>
        </row>
        <row r="6">
          <cell r="A6">
            <v>5</v>
          </cell>
          <cell r="B6" t="str">
            <v>진순이</v>
          </cell>
        </row>
        <row r="7">
          <cell r="A7">
            <v>6</v>
          </cell>
          <cell r="B7" t="str">
            <v>사순이</v>
          </cell>
        </row>
        <row r="8">
          <cell r="A8">
            <v>7</v>
          </cell>
          <cell r="B8" t="str">
            <v>오순이</v>
          </cell>
        </row>
        <row r="9">
          <cell r="A9">
            <v>8</v>
          </cell>
          <cell r="B9" t="str">
            <v>미순이</v>
          </cell>
        </row>
        <row r="10">
          <cell r="A10">
            <v>9</v>
          </cell>
          <cell r="B10" t="str">
            <v>신순이</v>
          </cell>
        </row>
        <row r="11">
          <cell r="A11">
            <v>10</v>
          </cell>
          <cell r="B11" t="str">
            <v>유순이</v>
          </cell>
        </row>
        <row r="12">
          <cell r="A12">
            <v>11</v>
          </cell>
          <cell r="B12" t="str">
            <v>술순이</v>
          </cell>
        </row>
      </sheetData>
      <sheetData sheetId="9"/>
      <sheetData sheetId="10"/>
      <sheetData sheetId="11">
        <row r="1">
          <cell r="A1" t="str">
            <v>고유번호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</row>
        <row r="3">
          <cell r="A3">
            <v>2</v>
          </cell>
          <cell r="B3" t="str">
            <v>을순이</v>
          </cell>
        </row>
        <row r="4">
          <cell r="A4">
            <v>3</v>
          </cell>
          <cell r="B4" t="str">
            <v>병순이</v>
          </cell>
        </row>
        <row r="5">
          <cell r="A5">
            <v>4</v>
          </cell>
          <cell r="B5" t="str">
            <v>정순이</v>
          </cell>
        </row>
        <row r="6">
          <cell r="A6">
            <v>5</v>
          </cell>
          <cell r="B6" t="str">
            <v>진순이</v>
          </cell>
        </row>
        <row r="7">
          <cell r="A7">
            <v>6</v>
          </cell>
          <cell r="B7" t="str">
            <v>사순이</v>
          </cell>
        </row>
        <row r="8">
          <cell r="A8">
            <v>7</v>
          </cell>
          <cell r="B8" t="str">
            <v>오순이</v>
          </cell>
        </row>
        <row r="9">
          <cell r="A9">
            <v>8</v>
          </cell>
          <cell r="B9" t="str">
            <v>미순이</v>
          </cell>
        </row>
        <row r="10">
          <cell r="A10">
            <v>9</v>
          </cell>
          <cell r="B10" t="str">
            <v>신순이</v>
          </cell>
        </row>
        <row r="11">
          <cell r="A11">
            <v>10</v>
          </cell>
          <cell r="B11" t="str">
            <v>유순이</v>
          </cell>
        </row>
        <row r="12">
          <cell r="A12">
            <v>11</v>
          </cell>
          <cell r="B12" t="str">
            <v>술순이</v>
          </cell>
        </row>
      </sheetData>
      <sheetData sheetId="12">
        <row r="1">
          <cell r="A1" t="str">
            <v>고유번호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</row>
        <row r="3">
          <cell r="A3">
            <v>2</v>
          </cell>
          <cell r="B3" t="str">
            <v>을순이</v>
          </cell>
        </row>
        <row r="4">
          <cell r="A4">
            <v>3</v>
          </cell>
          <cell r="B4" t="str">
            <v>병순이</v>
          </cell>
        </row>
        <row r="5">
          <cell r="A5">
            <v>4</v>
          </cell>
          <cell r="B5" t="str">
            <v>정순이</v>
          </cell>
        </row>
        <row r="6">
          <cell r="A6">
            <v>5</v>
          </cell>
          <cell r="B6" t="str">
            <v>진순이</v>
          </cell>
        </row>
        <row r="7">
          <cell r="A7">
            <v>6</v>
          </cell>
          <cell r="B7" t="str">
            <v>사순이</v>
          </cell>
        </row>
        <row r="8">
          <cell r="A8">
            <v>7</v>
          </cell>
          <cell r="B8" t="str">
            <v>오순이</v>
          </cell>
        </row>
        <row r="9">
          <cell r="A9">
            <v>8</v>
          </cell>
          <cell r="B9" t="str">
            <v>미순이</v>
          </cell>
        </row>
        <row r="10">
          <cell r="A10">
            <v>9</v>
          </cell>
          <cell r="B10" t="str">
            <v>신순이</v>
          </cell>
        </row>
        <row r="11">
          <cell r="A11">
            <v>10</v>
          </cell>
          <cell r="B11" t="str">
            <v>유순이</v>
          </cell>
        </row>
        <row r="12">
          <cell r="A12">
            <v>11</v>
          </cell>
          <cell r="B12" t="str">
            <v>술순이</v>
          </cell>
        </row>
      </sheetData>
      <sheetData sheetId="13">
        <row r="1">
          <cell r="A1" t="str">
            <v>고유번호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</row>
        <row r="3">
          <cell r="A3">
            <v>2</v>
          </cell>
          <cell r="B3" t="str">
            <v>을순이</v>
          </cell>
        </row>
        <row r="4">
          <cell r="A4">
            <v>3</v>
          </cell>
          <cell r="B4" t="str">
            <v>병순이</v>
          </cell>
        </row>
        <row r="5">
          <cell r="A5">
            <v>4</v>
          </cell>
          <cell r="B5" t="str">
            <v>정순이</v>
          </cell>
        </row>
        <row r="6">
          <cell r="A6">
            <v>5</v>
          </cell>
          <cell r="B6" t="str">
            <v>진순이</v>
          </cell>
        </row>
        <row r="7">
          <cell r="A7">
            <v>6</v>
          </cell>
          <cell r="B7" t="str">
            <v>사순이</v>
          </cell>
        </row>
        <row r="8">
          <cell r="A8">
            <v>7</v>
          </cell>
          <cell r="B8" t="str">
            <v>오순이</v>
          </cell>
        </row>
        <row r="9">
          <cell r="A9">
            <v>8</v>
          </cell>
          <cell r="B9" t="str">
            <v>미순이</v>
          </cell>
        </row>
        <row r="10">
          <cell r="A10">
            <v>9</v>
          </cell>
          <cell r="B10" t="str">
            <v>신순이</v>
          </cell>
        </row>
        <row r="11">
          <cell r="A11">
            <v>10</v>
          </cell>
          <cell r="B11" t="str">
            <v>유순이</v>
          </cell>
        </row>
        <row r="12">
          <cell r="A12">
            <v>11</v>
          </cell>
          <cell r="B12" t="str">
            <v>술순이</v>
          </cell>
        </row>
      </sheetData>
      <sheetData sheetId="14">
        <row r="1">
          <cell r="A1" t="str">
            <v>고유번호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</row>
        <row r="3">
          <cell r="A3">
            <v>2</v>
          </cell>
          <cell r="B3" t="str">
            <v>을순이</v>
          </cell>
        </row>
        <row r="4">
          <cell r="A4">
            <v>3</v>
          </cell>
          <cell r="B4" t="str">
            <v>병순이</v>
          </cell>
        </row>
        <row r="5">
          <cell r="A5">
            <v>4</v>
          </cell>
          <cell r="B5" t="str">
            <v>정순이</v>
          </cell>
        </row>
        <row r="6">
          <cell r="A6">
            <v>5</v>
          </cell>
          <cell r="B6" t="str">
            <v>진순이</v>
          </cell>
        </row>
        <row r="7">
          <cell r="A7">
            <v>6</v>
          </cell>
          <cell r="B7" t="str">
            <v>사순이</v>
          </cell>
        </row>
        <row r="8">
          <cell r="A8">
            <v>7</v>
          </cell>
          <cell r="B8" t="str">
            <v>오순이</v>
          </cell>
        </row>
        <row r="9">
          <cell r="A9">
            <v>8</v>
          </cell>
          <cell r="B9" t="str">
            <v>미순이</v>
          </cell>
        </row>
        <row r="10">
          <cell r="A10">
            <v>9</v>
          </cell>
          <cell r="B10" t="str">
            <v>신순이</v>
          </cell>
        </row>
        <row r="11">
          <cell r="A11">
            <v>10</v>
          </cell>
          <cell r="B11" t="str">
            <v>유순이</v>
          </cell>
        </row>
        <row r="12">
          <cell r="A12">
            <v>11</v>
          </cell>
          <cell r="B12" t="str">
            <v>술순이</v>
          </cell>
        </row>
      </sheetData>
      <sheetData sheetId="15"/>
      <sheetData sheetId="16"/>
      <sheetData sheetId="17"/>
      <sheetData sheetId="18">
        <row r="1">
          <cell r="A1" t="str">
            <v>일련번호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2</v>
          </cell>
          <cell r="B3" t="str">
            <v>을순이</v>
          </cell>
          <cell r="C3">
            <v>7230</v>
          </cell>
          <cell r="D3">
            <v>7230</v>
          </cell>
          <cell r="E3">
            <v>7230</v>
          </cell>
          <cell r="F3">
            <v>7230</v>
          </cell>
          <cell r="G3">
            <v>7230</v>
          </cell>
          <cell r="H3">
            <v>7230</v>
          </cell>
          <cell r="I3">
            <v>7230</v>
          </cell>
          <cell r="J3">
            <v>7230</v>
          </cell>
          <cell r="K3">
            <v>7230</v>
          </cell>
          <cell r="L3">
            <v>7230</v>
          </cell>
          <cell r="M3">
            <v>7230</v>
          </cell>
          <cell r="N3">
            <v>7230</v>
          </cell>
        </row>
        <row r="4">
          <cell r="A4">
            <v>3</v>
          </cell>
          <cell r="B4" t="str">
            <v>병순이</v>
          </cell>
          <cell r="C4">
            <v>4910</v>
          </cell>
          <cell r="D4">
            <v>4910</v>
          </cell>
          <cell r="E4">
            <v>4910</v>
          </cell>
          <cell r="F4">
            <v>4910</v>
          </cell>
          <cell r="G4">
            <v>4910</v>
          </cell>
          <cell r="H4">
            <v>4910</v>
          </cell>
          <cell r="I4">
            <v>4910</v>
          </cell>
          <cell r="J4">
            <v>4910</v>
          </cell>
          <cell r="K4">
            <v>4910</v>
          </cell>
          <cell r="L4">
            <v>4910</v>
          </cell>
          <cell r="M4">
            <v>4910</v>
          </cell>
          <cell r="N4">
            <v>4910</v>
          </cell>
        </row>
        <row r="5">
          <cell r="A5">
            <v>4</v>
          </cell>
          <cell r="B5" t="str">
            <v>정순이</v>
          </cell>
          <cell r="C5">
            <v>1700</v>
          </cell>
          <cell r="D5">
            <v>1700</v>
          </cell>
          <cell r="E5">
            <v>1700</v>
          </cell>
          <cell r="F5">
            <v>1700</v>
          </cell>
          <cell r="G5">
            <v>1700</v>
          </cell>
          <cell r="H5">
            <v>1700</v>
          </cell>
          <cell r="I5">
            <v>1700</v>
          </cell>
          <cell r="J5">
            <v>1700</v>
          </cell>
          <cell r="K5">
            <v>1700</v>
          </cell>
          <cell r="L5">
            <v>1700</v>
          </cell>
          <cell r="M5">
            <v>1700</v>
          </cell>
          <cell r="N5">
            <v>1700</v>
          </cell>
        </row>
        <row r="6">
          <cell r="A6">
            <v>5</v>
          </cell>
          <cell r="B6" t="str">
            <v>진순이</v>
          </cell>
          <cell r="C6">
            <v>1360</v>
          </cell>
          <cell r="D6">
            <v>1360</v>
          </cell>
          <cell r="E6">
            <v>1360</v>
          </cell>
          <cell r="F6">
            <v>1360</v>
          </cell>
          <cell r="G6">
            <v>1360</v>
          </cell>
          <cell r="H6">
            <v>1360</v>
          </cell>
          <cell r="I6">
            <v>1360</v>
          </cell>
          <cell r="J6">
            <v>1360</v>
          </cell>
          <cell r="K6">
            <v>1360</v>
          </cell>
          <cell r="L6">
            <v>1360</v>
          </cell>
          <cell r="M6">
            <v>1360</v>
          </cell>
          <cell r="N6">
            <v>1360</v>
          </cell>
        </row>
        <row r="7">
          <cell r="A7">
            <v>6</v>
          </cell>
          <cell r="B7" t="str">
            <v>사순이</v>
          </cell>
          <cell r="C7">
            <v>1410</v>
          </cell>
          <cell r="D7">
            <v>1410</v>
          </cell>
          <cell r="E7">
            <v>1410</v>
          </cell>
          <cell r="F7">
            <v>1410</v>
          </cell>
          <cell r="G7">
            <v>1410</v>
          </cell>
          <cell r="H7">
            <v>1410</v>
          </cell>
          <cell r="I7">
            <v>1410</v>
          </cell>
          <cell r="J7">
            <v>1410</v>
          </cell>
          <cell r="K7">
            <v>1410</v>
          </cell>
          <cell r="L7">
            <v>1410</v>
          </cell>
          <cell r="M7">
            <v>1410</v>
          </cell>
          <cell r="N7">
            <v>1410</v>
          </cell>
        </row>
        <row r="8">
          <cell r="A8">
            <v>7</v>
          </cell>
          <cell r="B8" t="str">
            <v>오순이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8</v>
          </cell>
          <cell r="B9" t="str">
            <v>미순이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9</v>
          </cell>
          <cell r="B10" t="str">
            <v>신순이</v>
          </cell>
          <cell r="C10">
            <v>1360</v>
          </cell>
          <cell r="D10">
            <v>1360</v>
          </cell>
          <cell r="E10">
            <v>1360</v>
          </cell>
          <cell r="F10">
            <v>1360</v>
          </cell>
          <cell r="G10">
            <v>1360</v>
          </cell>
          <cell r="H10">
            <v>1360</v>
          </cell>
          <cell r="I10">
            <v>1360</v>
          </cell>
          <cell r="J10">
            <v>1360</v>
          </cell>
          <cell r="K10">
            <v>1360</v>
          </cell>
          <cell r="L10">
            <v>1360</v>
          </cell>
          <cell r="M10">
            <v>1360</v>
          </cell>
          <cell r="N10">
            <v>1360</v>
          </cell>
        </row>
        <row r="11">
          <cell r="A11">
            <v>10</v>
          </cell>
          <cell r="B11" t="str">
            <v>유순이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11</v>
          </cell>
          <cell r="B12" t="str">
            <v>술순이</v>
          </cell>
          <cell r="C12">
            <v>7910</v>
          </cell>
          <cell r="D12">
            <v>7910</v>
          </cell>
          <cell r="E12">
            <v>7910</v>
          </cell>
          <cell r="F12">
            <v>7910</v>
          </cell>
          <cell r="G12">
            <v>7910</v>
          </cell>
          <cell r="H12">
            <v>7910</v>
          </cell>
          <cell r="I12">
            <v>7910</v>
          </cell>
          <cell r="J12">
            <v>7910</v>
          </cell>
          <cell r="K12">
            <v>7910</v>
          </cell>
          <cell r="L12">
            <v>7910</v>
          </cell>
          <cell r="M12">
            <v>7910</v>
          </cell>
          <cell r="N12">
            <v>7910</v>
          </cell>
        </row>
      </sheetData>
      <sheetData sheetId="19">
        <row r="1">
          <cell r="A1" t="str">
            <v>일련번호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  <cell r="O1" t="str">
            <v>계</v>
          </cell>
        </row>
        <row r="2">
          <cell r="A2">
            <v>1</v>
          </cell>
          <cell r="B2" t="str">
            <v>갑순이</v>
          </cell>
          <cell r="C2">
            <v>40410</v>
          </cell>
          <cell r="D2">
            <v>40410</v>
          </cell>
          <cell r="E2">
            <v>40410</v>
          </cell>
          <cell r="F2">
            <v>42420</v>
          </cell>
          <cell r="G2">
            <v>40990</v>
          </cell>
          <cell r="H2">
            <v>40990</v>
          </cell>
          <cell r="I2">
            <v>40990</v>
          </cell>
          <cell r="J2">
            <v>40990</v>
          </cell>
          <cell r="K2">
            <v>40990</v>
          </cell>
          <cell r="L2">
            <v>40410</v>
          </cell>
          <cell r="M2">
            <v>40410</v>
          </cell>
          <cell r="N2">
            <v>40410</v>
          </cell>
          <cell r="O2">
            <v>489830</v>
          </cell>
        </row>
        <row r="3">
          <cell r="A3">
            <v>2</v>
          </cell>
          <cell r="B3" t="str">
            <v>을순이</v>
          </cell>
          <cell r="C3">
            <v>60880</v>
          </cell>
          <cell r="D3">
            <v>60880</v>
          </cell>
          <cell r="E3">
            <v>60880</v>
          </cell>
          <cell r="F3">
            <v>42970</v>
          </cell>
          <cell r="G3">
            <v>60880</v>
          </cell>
          <cell r="H3">
            <v>60880</v>
          </cell>
          <cell r="I3">
            <v>60880</v>
          </cell>
          <cell r="J3">
            <v>60880</v>
          </cell>
          <cell r="K3">
            <v>60880</v>
          </cell>
          <cell r="L3">
            <v>60880</v>
          </cell>
          <cell r="M3">
            <v>60880</v>
          </cell>
          <cell r="N3">
            <v>60880</v>
          </cell>
          <cell r="O3">
            <v>712650</v>
          </cell>
        </row>
        <row r="4">
          <cell r="A4">
            <v>3</v>
          </cell>
          <cell r="B4" t="str">
            <v>병순이</v>
          </cell>
          <cell r="C4">
            <v>38160</v>
          </cell>
          <cell r="D4">
            <v>38160</v>
          </cell>
          <cell r="E4">
            <v>38160</v>
          </cell>
          <cell r="F4">
            <v>40710</v>
          </cell>
          <cell r="G4">
            <v>37980</v>
          </cell>
          <cell r="H4">
            <v>37980</v>
          </cell>
          <cell r="I4">
            <v>37980</v>
          </cell>
          <cell r="J4">
            <v>37980</v>
          </cell>
          <cell r="K4">
            <v>37980</v>
          </cell>
          <cell r="L4">
            <v>38160</v>
          </cell>
          <cell r="M4">
            <v>38160</v>
          </cell>
          <cell r="N4">
            <v>38160</v>
          </cell>
          <cell r="O4">
            <v>459570</v>
          </cell>
        </row>
        <row r="5">
          <cell r="A5">
            <v>4</v>
          </cell>
          <cell r="B5" t="str">
            <v>정순이</v>
          </cell>
          <cell r="C5">
            <v>36130</v>
          </cell>
          <cell r="D5">
            <v>36130</v>
          </cell>
          <cell r="E5">
            <v>36130</v>
          </cell>
          <cell r="F5">
            <v>40710</v>
          </cell>
          <cell r="G5">
            <v>36000</v>
          </cell>
          <cell r="H5">
            <v>36000</v>
          </cell>
          <cell r="I5">
            <v>36000</v>
          </cell>
          <cell r="J5">
            <v>36000</v>
          </cell>
          <cell r="K5">
            <v>36000</v>
          </cell>
          <cell r="L5">
            <v>36130</v>
          </cell>
          <cell r="M5">
            <v>36130</v>
          </cell>
          <cell r="N5">
            <v>36130</v>
          </cell>
          <cell r="O5">
            <v>437490</v>
          </cell>
        </row>
        <row r="6">
          <cell r="A6">
            <v>5</v>
          </cell>
          <cell r="B6" t="str">
            <v>진순이</v>
          </cell>
          <cell r="C6">
            <v>36000</v>
          </cell>
          <cell r="D6">
            <v>36000</v>
          </cell>
          <cell r="E6">
            <v>36000</v>
          </cell>
          <cell r="F6">
            <v>40710</v>
          </cell>
          <cell r="G6">
            <v>36000</v>
          </cell>
          <cell r="H6">
            <v>36000</v>
          </cell>
          <cell r="I6">
            <v>36000</v>
          </cell>
          <cell r="J6">
            <v>36000</v>
          </cell>
          <cell r="K6">
            <v>36000</v>
          </cell>
          <cell r="L6">
            <v>36000</v>
          </cell>
          <cell r="M6">
            <v>36000</v>
          </cell>
          <cell r="N6">
            <v>36000</v>
          </cell>
          <cell r="O6">
            <v>436710</v>
          </cell>
        </row>
        <row r="7">
          <cell r="A7">
            <v>6</v>
          </cell>
          <cell r="B7" t="str">
            <v>사순이</v>
          </cell>
          <cell r="C7">
            <v>34200</v>
          </cell>
          <cell r="D7">
            <v>34200</v>
          </cell>
          <cell r="E7">
            <v>34200</v>
          </cell>
          <cell r="F7">
            <v>40710</v>
          </cell>
          <cell r="G7">
            <v>38830</v>
          </cell>
          <cell r="H7">
            <v>38830</v>
          </cell>
          <cell r="I7">
            <v>38830</v>
          </cell>
          <cell r="J7">
            <v>38830</v>
          </cell>
          <cell r="K7">
            <v>38830</v>
          </cell>
          <cell r="L7">
            <v>34200</v>
          </cell>
          <cell r="M7">
            <v>34200</v>
          </cell>
          <cell r="N7">
            <v>34200</v>
          </cell>
          <cell r="O7">
            <v>440060</v>
          </cell>
        </row>
        <row r="8">
          <cell r="A8">
            <v>7</v>
          </cell>
          <cell r="B8" t="str">
            <v>오순이</v>
          </cell>
          <cell r="C8">
            <v>34200</v>
          </cell>
          <cell r="D8">
            <v>34200</v>
          </cell>
          <cell r="E8">
            <v>34200</v>
          </cell>
          <cell r="F8">
            <v>40710</v>
          </cell>
          <cell r="G8">
            <v>38830</v>
          </cell>
          <cell r="H8">
            <v>38830</v>
          </cell>
          <cell r="I8">
            <v>38830</v>
          </cell>
          <cell r="J8">
            <v>38830</v>
          </cell>
          <cell r="K8">
            <v>38830</v>
          </cell>
          <cell r="L8">
            <v>34200</v>
          </cell>
          <cell r="M8">
            <v>34200</v>
          </cell>
          <cell r="N8">
            <v>34200</v>
          </cell>
          <cell r="O8">
            <v>440060</v>
          </cell>
        </row>
        <row r="9">
          <cell r="A9">
            <v>8</v>
          </cell>
          <cell r="B9" t="str">
            <v>미순이</v>
          </cell>
          <cell r="C9">
            <v>29650</v>
          </cell>
          <cell r="D9">
            <v>29650</v>
          </cell>
          <cell r="E9">
            <v>29650</v>
          </cell>
          <cell r="F9">
            <v>40710</v>
          </cell>
          <cell r="G9">
            <v>32310</v>
          </cell>
          <cell r="H9">
            <v>32310</v>
          </cell>
          <cell r="I9">
            <v>32310</v>
          </cell>
          <cell r="J9">
            <v>32310</v>
          </cell>
          <cell r="K9">
            <v>32310</v>
          </cell>
          <cell r="L9">
            <v>29650</v>
          </cell>
          <cell r="M9">
            <v>29650</v>
          </cell>
          <cell r="N9">
            <v>29650</v>
          </cell>
          <cell r="O9">
            <v>380160</v>
          </cell>
        </row>
        <row r="10">
          <cell r="A10">
            <v>9</v>
          </cell>
          <cell r="B10" t="str">
            <v>신순이</v>
          </cell>
          <cell r="C10">
            <v>32620</v>
          </cell>
          <cell r="D10">
            <v>32620</v>
          </cell>
          <cell r="E10">
            <v>32620</v>
          </cell>
          <cell r="F10">
            <v>40710</v>
          </cell>
          <cell r="G10">
            <v>37080</v>
          </cell>
          <cell r="H10">
            <v>37080</v>
          </cell>
          <cell r="I10">
            <v>37080</v>
          </cell>
          <cell r="J10">
            <v>37080</v>
          </cell>
          <cell r="K10">
            <v>37080</v>
          </cell>
          <cell r="L10">
            <v>32620</v>
          </cell>
          <cell r="M10">
            <v>32620</v>
          </cell>
          <cell r="N10">
            <v>32620</v>
          </cell>
          <cell r="O10">
            <v>421830</v>
          </cell>
        </row>
        <row r="11">
          <cell r="A11">
            <v>10</v>
          </cell>
          <cell r="B11" t="str">
            <v>유순이</v>
          </cell>
          <cell r="C11">
            <v>41130</v>
          </cell>
          <cell r="D11">
            <v>41130</v>
          </cell>
          <cell r="E11">
            <v>41130</v>
          </cell>
          <cell r="F11">
            <v>40710</v>
          </cell>
          <cell r="G11">
            <v>0</v>
          </cell>
          <cell r="H11">
            <v>41130</v>
          </cell>
          <cell r="I11">
            <v>41130</v>
          </cell>
          <cell r="J11">
            <v>41130</v>
          </cell>
          <cell r="K11">
            <v>41130</v>
          </cell>
          <cell r="L11">
            <v>41130</v>
          </cell>
          <cell r="M11">
            <v>41130</v>
          </cell>
          <cell r="N11">
            <v>41130</v>
          </cell>
          <cell r="O11">
            <v>452010</v>
          </cell>
        </row>
        <row r="12">
          <cell r="A12">
            <v>11</v>
          </cell>
          <cell r="B12" t="str">
            <v>술순이</v>
          </cell>
          <cell r="C12">
            <v>39870</v>
          </cell>
          <cell r="D12">
            <v>39870</v>
          </cell>
          <cell r="E12">
            <v>39870</v>
          </cell>
          <cell r="F12">
            <v>57770</v>
          </cell>
          <cell r="G12">
            <v>39870</v>
          </cell>
          <cell r="H12">
            <v>39870</v>
          </cell>
          <cell r="I12">
            <v>39870</v>
          </cell>
          <cell r="J12">
            <v>39870</v>
          </cell>
          <cell r="K12">
            <v>39870</v>
          </cell>
          <cell r="L12">
            <v>39870</v>
          </cell>
          <cell r="M12">
            <v>39870</v>
          </cell>
          <cell r="N12">
            <v>39870</v>
          </cell>
          <cell r="O12">
            <v>496340</v>
          </cell>
        </row>
        <row r="13">
          <cell r="B13" t="str">
            <v>계</v>
          </cell>
          <cell r="C13">
            <v>423250</v>
          </cell>
          <cell r="D13">
            <v>423250</v>
          </cell>
          <cell r="E13">
            <v>423250</v>
          </cell>
          <cell r="F13">
            <v>468840</v>
          </cell>
          <cell r="G13">
            <v>398770</v>
          </cell>
          <cell r="H13">
            <v>439900</v>
          </cell>
          <cell r="I13">
            <v>439900</v>
          </cell>
          <cell r="J13">
            <v>439900</v>
          </cell>
          <cell r="K13">
            <v>439900</v>
          </cell>
          <cell r="L13">
            <v>423250</v>
          </cell>
          <cell r="M13">
            <v>423250</v>
          </cell>
          <cell r="N13">
            <v>423250</v>
          </cell>
          <cell r="O13">
            <v>5166710</v>
          </cell>
        </row>
      </sheetData>
      <sheetData sheetId="20">
        <row r="1">
          <cell r="A1" t="str">
            <v>일련번호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  <cell r="O1" t="str">
            <v>계</v>
          </cell>
        </row>
        <row r="2">
          <cell r="A2">
            <v>1</v>
          </cell>
          <cell r="B2" t="str">
            <v>갑순이</v>
          </cell>
          <cell r="C2">
            <v>55260</v>
          </cell>
          <cell r="D2">
            <v>55260</v>
          </cell>
          <cell r="E2">
            <v>55260</v>
          </cell>
          <cell r="F2">
            <v>156230</v>
          </cell>
          <cell r="G2">
            <v>40410</v>
          </cell>
          <cell r="H2">
            <v>40410</v>
          </cell>
          <cell r="I2">
            <v>40410</v>
          </cell>
          <cell r="J2">
            <v>40410</v>
          </cell>
          <cell r="K2">
            <v>40410</v>
          </cell>
          <cell r="L2">
            <v>55260</v>
          </cell>
          <cell r="M2">
            <v>55260</v>
          </cell>
          <cell r="N2">
            <v>55260</v>
          </cell>
          <cell r="O2">
            <v>689840</v>
          </cell>
        </row>
        <row r="3">
          <cell r="A3">
            <v>2</v>
          </cell>
          <cell r="B3" t="str">
            <v>을순이</v>
          </cell>
          <cell r="C3">
            <v>40670</v>
          </cell>
          <cell r="D3">
            <v>40670</v>
          </cell>
          <cell r="E3">
            <v>40670</v>
          </cell>
          <cell r="F3">
            <v>82990</v>
          </cell>
          <cell r="G3">
            <v>82850</v>
          </cell>
          <cell r="H3">
            <v>82850</v>
          </cell>
          <cell r="I3">
            <v>82850</v>
          </cell>
          <cell r="J3">
            <v>82850</v>
          </cell>
          <cell r="K3">
            <v>82850</v>
          </cell>
          <cell r="L3">
            <v>82850</v>
          </cell>
          <cell r="M3">
            <v>40670</v>
          </cell>
          <cell r="N3">
            <v>40670</v>
          </cell>
          <cell r="O3">
            <v>783440</v>
          </cell>
        </row>
        <row r="4">
          <cell r="A4">
            <v>3</v>
          </cell>
          <cell r="B4" t="str">
            <v>병순이</v>
          </cell>
          <cell r="C4">
            <v>28450</v>
          </cell>
          <cell r="D4">
            <v>28450</v>
          </cell>
          <cell r="E4">
            <v>29260</v>
          </cell>
          <cell r="F4">
            <v>56360</v>
          </cell>
          <cell r="G4">
            <v>28450</v>
          </cell>
          <cell r="H4">
            <v>28450</v>
          </cell>
          <cell r="I4">
            <v>28450</v>
          </cell>
          <cell r="J4">
            <v>28450</v>
          </cell>
          <cell r="K4">
            <v>28450</v>
          </cell>
          <cell r="L4">
            <v>28450</v>
          </cell>
          <cell r="M4">
            <v>28450</v>
          </cell>
          <cell r="N4">
            <v>28450</v>
          </cell>
          <cell r="O4">
            <v>370120</v>
          </cell>
        </row>
        <row r="5">
          <cell r="A5">
            <v>4</v>
          </cell>
          <cell r="B5" t="str">
            <v>정순이</v>
          </cell>
          <cell r="C5">
            <v>22130</v>
          </cell>
          <cell r="D5">
            <v>22130</v>
          </cell>
          <cell r="E5">
            <v>33740</v>
          </cell>
          <cell r="F5">
            <v>49860</v>
          </cell>
          <cell r="G5">
            <v>22130</v>
          </cell>
          <cell r="H5">
            <v>22130</v>
          </cell>
          <cell r="I5">
            <v>22130</v>
          </cell>
          <cell r="J5">
            <v>22130</v>
          </cell>
          <cell r="K5">
            <v>22130</v>
          </cell>
          <cell r="L5">
            <v>22130</v>
          </cell>
          <cell r="M5">
            <v>22130</v>
          </cell>
          <cell r="N5">
            <v>22130</v>
          </cell>
          <cell r="O5">
            <v>304900</v>
          </cell>
        </row>
        <row r="6">
          <cell r="A6">
            <v>5</v>
          </cell>
          <cell r="B6" t="str">
            <v>진순이</v>
          </cell>
          <cell r="C6">
            <v>26990</v>
          </cell>
          <cell r="D6">
            <v>26990</v>
          </cell>
          <cell r="E6">
            <v>27760</v>
          </cell>
          <cell r="F6">
            <v>56470</v>
          </cell>
          <cell r="G6">
            <v>26990</v>
          </cell>
          <cell r="H6">
            <v>26990</v>
          </cell>
          <cell r="I6">
            <v>26990</v>
          </cell>
          <cell r="J6">
            <v>26990</v>
          </cell>
          <cell r="K6">
            <v>26990</v>
          </cell>
          <cell r="L6">
            <v>26990</v>
          </cell>
          <cell r="M6">
            <v>26990</v>
          </cell>
          <cell r="N6">
            <v>26990</v>
          </cell>
          <cell r="O6">
            <v>354130</v>
          </cell>
        </row>
        <row r="7">
          <cell r="A7">
            <v>6</v>
          </cell>
          <cell r="B7" t="str">
            <v>사순이</v>
          </cell>
          <cell r="C7">
            <v>25930</v>
          </cell>
          <cell r="D7">
            <v>25930</v>
          </cell>
          <cell r="E7">
            <v>26660</v>
          </cell>
          <cell r="F7">
            <v>25930</v>
          </cell>
          <cell r="G7">
            <v>25930</v>
          </cell>
          <cell r="H7">
            <v>25930</v>
          </cell>
          <cell r="I7">
            <v>25930</v>
          </cell>
          <cell r="J7">
            <v>25930</v>
          </cell>
          <cell r="K7">
            <v>25930</v>
          </cell>
          <cell r="L7">
            <v>25930</v>
          </cell>
          <cell r="M7">
            <v>25930</v>
          </cell>
          <cell r="N7">
            <v>25930</v>
          </cell>
          <cell r="O7">
            <v>311890</v>
          </cell>
        </row>
        <row r="8">
          <cell r="A8">
            <v>7</v>
          </cell>
          <cell r="B8" t="str">
            <v>오순이</v>
          </cell>
          <cell r="C8">
            <v>25930</v>
          </cell>
          <cell r="D8">
            <v>25930</v>
          </cell>
          <cell r="E8">
            <v>26660</v>
          </cell>
          <cell r="F8">
            <v>25930</v>
          </cell>
          <cell r="G8">
            <v>25930</v>
          </cell>
          <cell r="H8">
            <v>25930</v>
          </cell>
          <cell r="I8">
            <v>25930</v>
          </cell>
          <cell r="J8">
            <v>25930</v>
          </cell>
          <cell r="K8">
            <v>25930</v>
          </cell>
          <cell r="L8">
            <v>25930</v>
          </cell>
          <cell r="M8">
            <v>25930</v>
          </cell>
          <cell r="N8">
            <v>25930</v>
          </cell>
          <cell r="O8">
            <v>311890</v>
          </cell>
        </row>
        <row r="9">
          <cell r="A9">
            <v>8</v>
          </cell>
          <cell r="B9" t="str">
            <v>미순이</v>
          </cell>
          <cell r="C9">
            <v>21590</v>
          </cell>
          <cell r="D9">
            <v>21590</v>
          </cell>
          <cell r="E9">
            <v>22200</v>
          </cell>
          <cell r="F9">
            <v>21590</v>
          </cell>
          <cell r="G9">
            <v>21590</v>
          </cell>
          <cell r="H9">
            <v>21590</v>
          </cell>
          <cell r="I9">
            <v>21590</v>
          </cell>
          <cell r="J9">
            <v>21590</v>
          </cell>
          <cell r="K9">
            <v>21590</v>
          </cell>
          <cell r="L9">
            <v>21590</v>
          </cell>
          <cell r="M9">
            <v>21590</v>
          </cell>
          <cell r="N9">
            <v>21590</v>
          </cell>
          <cell r="O9">
            <v>259690</v>
          </cell>
        </row>
        <row r="10">
          <cell r="A10">
            <v>9</v>
          </cell>
          <cell r="B10" t="str">
            <v>신순이</v>
          </cell>
          <cell r="C10">
            <v>24770</v>
          </cell>
          <cell r="D10">
            <v>24770</v>
          </cell>
          <cell r="E10">
            <v>25470</v>
          </cell>
          <cell r="F10">
            <v>24770</v>
          </cell>
          <cell r="G10">
            <v>24770</v>
          </cell>
          <cell r="H10">
            <v>24770</v>
          </cell>
          <cell r="I10">
            <v>24770</v>
          </cell>
          <cell r="J10">
            <v>24770</v>
          </cell>
          <cell r="K10">
            <v>24770</v>
          </cell>
          <cell r="L10">
            <v>24770</v>
          </cell>
          <cell r="M10">
            <v>24770</v>
          </cell>
          <cell r="N10">
            <v>24770</v>
          </cell>
          <cell r="O10">
            <v>297940</v>
          </cell>
        </row>
        <row r="11">
          <cell r="A11">
            <v>10</v>
          </cell>
          <cell r="B11" t="str">
            <v>유순이</v>
          </cell>
          <cell r="C11">
            <v>27460</v>
          </cell>
          <cell r="D11">
            <v>27460</v>
          </cell>
          <cell r="E11">
            <v>28240</v>
          </cell>
          <cell r="F11">
            <v>29660</v>
          </cell>
          <cell r="G11">
            <v>27460</v>
          </cell>
          <cell r="H11">
            <v>27460</v>
          </cell>
          <cell r="I11">
            <v>27460</v>
          </cell>
          <cell r="J11">
            <v>27460</v>
          </cell>
          <cell r="K11">
            <v>27460</v>
          </cell>
          <cell r="L11">
            <v>27460</v>
          </cell>
          <cell r="M11">
            <v>27460</v>
          </cell>
          <cell r="N11">
            <v>27460</v>
          </cell>
          <cell r="O11">
            <v>332500</v>
          </cell>
        </row>
        <row r="12">
          <cell r="A12">
            <v>11</v>
          </cell>
          <cell r="B12" t="str">
            <v>술순이</v>
          </cell>
          <cell r="C12">
            <v>26620</v>
          </cell>
          <cell r="D12">
            <v>26620</v>
          </cell>
          <cell r="E12">
            <v>27380</v>
          </cell>
          <cell r="F12">
            <v>26820</v>
          </cell>
          <cell r="G12">
            <v>26620</v>
          </cell>
          <cell r="H12">
            <v>26620</v>
          </cell>
          <cell r="I12">
            <v>26620</v>
          </cell>
          <cell r="J12">
            <v>26620</v>
          </cell>
          <cell r="K12">
            <v>26620</v>
          </cell>
          <cell r="L12">
            <v>26620</v>
          </cell>
          <cell r="M12">
            <v>26620</v>
          </cell>
          <cell r="N12">
            <v>26620</v>
          </cell>
          <cell r="O12">
            <v>320400</v>
          </cell>
        </row>
        <row r="13">
          <cell r="B13" t="str">
            <v>계</v>
          </cell>
          <cell r="C13">
            <v>325800</v>
          </cell>
          <cell r="D13">
            <v>325800</v>
          </cell>
          <cell r="E13">
            <v>343300</v>
          </cell>
          <cell r="F13">
            <v>556610</v>
          </cell>
          <cell r="G13">
            <v>353130</v>
          </cell>
          <cell r="H13">
            <v>353130</v>
          </cell>
          <cell r="I13">
            <v>353130</v>
          </cell>
          <cell r="J13">
            <v>353130</v>
          </cell>
          <cell r="K13">
            <v>353130</v>
          </cell>
          <cell r="L13">
            <v>367980</v>
          </cell>
          <cell r="M13">
            <v>325800</v>
          </cell>
          <cell r="N13">
            <v>325800</v>
          </cell>
          <cell r="O13">
            <v>4336740</v>
          </cell>
        </row>
      </sheetData>
      <sheetData sheetId="21">
        <row r="1">
          <cell r="A1" t="str">
            <v>일련번호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  <cell r="O1" t="str">
            <v>계</v>
          </cell>
        </row>
        <row r="2">
          <cell r="A2">
            <v>1</v>
          </cell>
          <cell r="B2" t="str">
            <v>갑순이</v>
          </cell>
          <cell r="C2">
            <v>5590</v>
          </cell>
          <cell r="D2">
            <v>5590</v>
          </cell>
          <cell r="E2">
            <v>5590</v>
          </cell>
          <cell r="F2">
            <v>5650</v>
          </cell>
          <cell r="G2">
            <v>6840</v>
          </cell>
          <cell r="H2">
            <v>6840</v>
          </cell>
          <cell r="I2">
            <v>5590</v>
          </cell>
          <cell r="J2">
            <v>5590</v>
          </cell>
          <cell r="K2">
            <v>5590</v>
          </cell>
          <cell r="L2">
            <v>5590</v>
          </cell>
          <cell r="M2">
            <v>5590</v>
          </cell>
          <cell r="N2">
            <v>5590</v>
          </cell>
          <cell r="O2">
            <v>69640</v>
          </cell>
        </row>
        <row r="3">
          <cell r="A3">
            <v>2</v>
          </cell>
          <cell r="B3" t="str">
            <v>을순이</v>
          </cell>
          <cell r="C3">
            <v>7350</v>
          </cell>
          <cell r="D3">
            <v>7350</v>
          </cell>
          <cell r="E3">
            <v>7350</v>
          </cell>
          <cell r="F3">
            <v>0</v>
          </cell>
          <cell r="G3">
            <v>210</v>
          </cell>
          <cell r="H3">
            <v>210</v>
          </cell>
          <cell r="I3">
            <v>7350</v>
          </cell>
          <cell r="J3">
            <v>7350</v>
          </cell>
          <cell r="K3">
            <v>7350</v>
          </cell>
          <cell r="L3">
            <v>7350</v>
          </cell>
          <cell r="M3">
            <v>7350</v>
          </cell>
          <cell r="N3">
            <v>7350</v>
          </cell>
          <cell r="O3">
            <v>66570</v>
          </cell>
        </row>
        <row r="4">
          <cell r="A4">
            <v>3</v>
          </cell>
          <cell r="B4" t="str">
            <v>병순이</v>
          </cell>
          <cell r="C4">
            <v>4730</v>
          </cell>
          <cell r="D4">
            <v>4730</v>
          </cell>
          <cell r="E4">
            <v>4730</v>
          </cell>
          <cell r="F4">
            <v>3770</v>
          </cell>
          <cell r="G4">
            <v>4730</v>
          </cell>
          <cell r="H4">
            <v>18170</v>
          </cell>
          <cell r="I4">
            <v>4730</v>
          </cell>
          <cell r="J4">
            <v>4730</v>
          </cell>
          <cell r="K4">
            <v>4730</v>
          </cell>
          <cell r="L4">
            <v>4730</v>
          </cell>
          <cell r="M4">
            <v>4730</v>
          </cell>
          <cell r="N4">
            <v>4730</v>
          </cell>
          <cell r="O4">
            <v>69240</v>
          </cell>
        </row>
        <row r="5">
          <cell r="A5">
            <v>4</v>
          </cell>
          <cell r="B5" t="str">
            <v>정순이</v>
          </cell>
          <cell r="C5">
            <v>4480</v>
          </cell>
          <cell r="D5">
            <v>4480</v>
          </cell>
          <cell r="E5">
            <v>4480</v>
          </cell>
          <cell r="F5">
            <v>670</v>
          </cell>
          <cell r="G5">
            <v>4480</v>
          </cell>
          <cell r="H5">
            <v>4480</v>
          </cell>
          <cell r="I5">
            <v>4480</v>
          </cell>
          <cell r="J5">
            <v>4480</v>
          </cell>
          <cell r="K5">
            <v>4480</v>
          </cell>
          <cell r="L5">
            <v>4480</v>
          </cell>
          <cell r="M5">
            <v>4480</v>
          </cell>
          <cell r="N5">
            <v>4480</v>
          </cell>
          <cell r="O5">
            <v>49950</v>
          </cell>
        </row>
        <row r="6">
          <cell r="A6">
            <v>5</v>
          </cell>
          <cell r="B6" t="str">
            <v>진순이</v>
          </cell>
          <cell r="C6">
            <v>4460</v>
          </cell>
          <cell r="D6">
            <v>4460</v>
          </cell>
          <cell r="E6">
            <v>4460</v>
          </cell>
          <cell r="F6">
            <v>3570</v>
          </cell>
          <cell r="G6">
            <v>4460</v>
          </cell>
          <cell r="H6">
            <v>4460</v>
          </cell>
          <cell r="I6">
            <v>4460</v>
          </cell>
          <cell r="J6">
            <v>4460</v>
          </cell>
          <cell r="K6">
            <v>4460</v>
          </cell>
          <cell r="L6">
            <v>4460</v>
          </cell>
          <cell r="M6">
            <v>4460</v>
          </cell>
          <cell r="N6">
            <v>4460</v>
          </cell>
          <cell r="O6">
            <v>52630</v>
          </cell>
        </row>
        <row r="7">
          <cell r="A7">
            <v>6</v>
          </cell>
          <cell r="B7" t="str">
            <v>사순이</v>
          </cell>
          <cell r="C7">
            <v>4260</v>
          </cell>
          <cell r="D7">
            <v>4260</v>
          </cell>
          <cell r="E7">
            <v>4260</v>
          </cell>
          <cell r="F7">
            <v>3570</v>
          </cell>
          <cell r="G7">
            <v>4260</v>
          </cell>
          <cell r="H7">
            <v>4260</v>
          </cell>
          <cell r="I7">
            <v>4260</v>
          </cell>
          <cell r="J7">
            <v>4260</v>
          </cell>
          <cell r="K7">
            <v>4260</v>
          </cell>
          <cell r="L7">
            <v>4260</v>
          </cell>
          <cell r="M7">
            <v>4260</v>
          </cell>
          <cell r="N7">
            <v>4260</v>
          </cell>
          <cell r="O7">
            <v>50430</v>
          </cell>
        </row>
        <row r="8">
          <cell r="A8">
            <v>7</v>
          </cell>
          <cell r="B8" t="str">
            <v>오순이</v>
          </cell>
          <cell r="C8">
            <v>4260</v>
          </cell>
          <cell r="D8">
            <v>4260</v>
          </cell>
          <cell r="E8">
            <v>4260</v>
          </cell>
          <cell r="F8">
            <v>3570</v>
          </cell>
          <cell r="G8">
            <v>4260</v>
          </cell>
          <cell r="H8">
            <v>4260</v>
          </cell>
          <cell r="I8">
            <v>4260</v>
          </cell>
          <cell r="J8">
            <v>4260</v>
          </cell>
          <cell r="K8">
            <v>4260</v>
          </cell>
          <cell r="L8">
            <v>4260</v>
          </cell>
          <cell r="M8">
            <v>4260</v>
          </cell>
          <cell r="N8">
            <v>4260</v>
          </cell>
          <cell r="O8">
            <v>50430</v>
          </cell>
        </row>
        <row r="9">
          <cell r="A9">
            <v>8</v>
          </cell>
          <cell r="B9" t="str">
            <v>미순이</v>
          </cell>
          <cell r="C9">
            <v>3470</v>
          </cell>
          <cell r="D9">
            <v>3470</v>
          </cell>
          <cell r="E9">
            <v>3470</v>
          </cell>
          <cell r="F9">
            <v>2970</v>
          </cell>
          <cell r="G9">
            <v>3470</v>
          </cell>
          <cell r="H9">
            <v>3470</v>
          </cell>
          <cell r="I9">
            <v>3470</v>
          </cell>
          <cell r="J9">
            <v>3470</v>
          </cell>
          <cell r="K9">
            <v>3470</v>
          </cell>
          <cell r="L9">
            <v>3470</v>
          </cell>
          <cell r="M9">
            <v>3470</v>
          </cell>
          <cell r="N9">
            <v>3470</v>
          </cell>
          <cell r="O9">
            <v>41140</v>
          </cell>
        </row>
        <row r="10">
          <cell r="A10">
            <v>9</v>
          </cell>
          <cell r="B10" t="str">
            <v>신순이</v>
          </cell>
          <cell r="C10">
            <v>4050</v>
          </cell>
          <cell r="D10">
            <v>4050</v>
          </cell>
          <cell r="E10">
            <v>4050</v>
          </cell>
          <cell r="F10">
            <v>3470</v>
          </cell>
          <cell r="G10">
            <v>4050</v>
          </cell>
          <cell r="H10">
            <v>4050</v>
          </cell>
          <cell r="I10">
            <v>4050</v>
          </cell>
          <cell r="J10">
            <v>4050</v>
          </cell>
          <cell r="K10">
            <v>4050</v>
          </cell>
          <cell r="L10">
            <v>4050</v>
          </cell>
          <cell r="M10">
            <v>4050</v>
          </cell>
          <cell r="N10">
            <v>4050</v>
          </cell>
          <cell r="O10">
            <v>48020</v>
          </cell>
        </row>
        <row r="11">
          <cell r="A11">
            <v>10</v>
          </cell>
          <cell r="B11" t="str">
            <v>유순이</v>
          </cell>
          <cell r="C11">
            <v>5020</v>
          </cell>
          <cell r="D11">
            <v>5020</v>
          </cell>
          <cell r="E11">
            <v>5020</v>
          </cell>
          <cell r="F11">
            <v>0</v>
          </cell>
          <cell r="G11">
            <v>0</v>
          </cell>
          <cell r="H11">
            <v>7600</v>
          </cell>
          <cell r="I11">
            <v>5020</v>
          </cell>
          <cell r="J11">
            <v>5020</v>
          </cell>
          <cell r="K11">
            <v>5020</v>
          </cell>
          <cell r="L11">
            <v>5020</v>
          </cell>
          <cell r="M11">
            <v>5020</v>
          </cell>
          <cell r="N11">
            <v>5020</v>
          </cell>
          <cell r="O11">
            <v>52780</v>
          </cell>
        </row>
        <row r="12">
          <cell r="A12">
            <v>11</v>
          </cell>
          <cell r="B12" t="str">
            <v>술순이</v>
          </cell>
          <cell r="C12">
            <v>4870</v>
          </cell>
          <cell r="D12">
            <v>4870</v>
          </cell>
          <cell r="E12">
            <v>4870</v>
          </cell>
          <cell r="F12">
            <v>4870</v>
          </cell>
          <cell r="G12">
            <v>4870</v>
          </cell>
          <cell r="H12">
            <v>4870</v>
          </cell>
          <cell r="I12">
            <v>4870</v>
          </cell>
          <cell r="J12">
            <v>4870</v>
          </cell>
          <cell r="K12">
            <v>4870</v>
          </cell>
          <cell r="L12">
            <v>4870</v>
          </cell>
          <cell r="M12">
            <v>4870</v>
          </cell>
          <cell r="N12">
            <v>4870</v>
          </cell>
          <cell r="O12">
            <v>58440</v>
          </cell>
        </row>
        <row r="13">
          <cell r="B13" t="str">
            <v>계</v>
          </cell>
          <cell r="C13">
            <v>52540</v>
          </cell>
          <cell r="D13">
            <v>52540</v>
          </cell>
          <cell r="E13">
            <v>52540</v>
          </cell>
          <cell r="F13">
            <v>32110</v>
          </cell>
          <cell r="G13">
            <v>41630</v>
          </cell>
          <cell r="H13">
            <v>62670</v>
          </cell>
          <cell r="I13">
            <v>52540</v>
          </cell>
          <cell r="J13">
            <v>52540</v>
          </cell>
          <cell r="K13">
            <v>52540</v>
          </cell>
          <cell r="L13">
            <v>52540</v>
          </cell>
          <cell r="M13">
            <v>52540</v>
          </cell>
          <cell r="N13">
            <v>52540</v>
          </cell>
          <cell r="O13">
            <v>609270</v>
          </cell>
        </row>
      </sheetData>
      <sheetData sheetId="22">
        <row r="1">
          <cell r="A1" t="str">
            <v>일련번호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</row>
        <row r="3">
          <cell r="A3">
            <v>2</v>
          </cell>
          <cell r="B3" t="str">
            <v>을순이</v>
          </cell>
        </row>
        <row r="4">
          <cell r="A4">
            <v>3</v>
          </cell>
          <cell r="B4" t="str">
            <v>병순이</v>
          </cell>
        </row>
        <row r="5">
          <cell r="A5">
            <v>4</v>
          </cell>
          <cell r="B5" t="str">
            <v>정순이</v>
          </cell>
        </row>
        <row r="6">
          <cell r="A6">
            <v>5</v>
          </cell>
          <cell r="B6" t="str">
            <v>진순이</v>
          </cell>
        </row>
        <row r="7">
          <cell r="A7">
            <v>6</v>
          </cell>
          <cell r="B7" t="str">
            <v>사순이</v>
          </cell>
        </row>
        <row r="8">
          <cell r="A8">
            <v>7</v>
          </cell>
          <cell r="B8" t="str">
            <v>오순이</v>
          </cell>
        </row>
        <row r="9">
          <cell r="A9">
            <v>8</v>
          </cell>
          <cell r="B9" t="str">
            <v>미순이</v>
          </cell>
        </row>
        <row r="10">
          <cell r="A10">
            <v>9</v>
          </cell>
          <cell r="B10" t="str">
            <v>신순이</v>
          </cell>
        </row>
        <row r="11">
          <cell r="A11">
            <v>10</v>
          </cell>
          <cell r="B11" t="str">
            <v>유순이</v>
          </cell>
        </row>
        <row r="12">
          <cell r="A12">
            <v>11</v>
          </cell>
          <cell r="B12" t="str">
            <v>술순이</v>
          </cell>
        </row>
        <row r="13">
          <cell r="B13" t="str">
            <v>계</v>
          </cell>
        </row>
      </sheetData>
      <sheetData sheetId="23">
        <row r="1">
          <cell r="A1" t="str">
            <v>일련번호</v>
          </cell>
          <cell r="B1" t="str">
            <v>성명</v>
          </cell>
          <cell r="C1" t="str">
            <v>1월</v>
          </cell>
          <cell r="D1" t="str">
            <v>2월</v>
          </cell>
          <cell r="E1" t="str">
            <v>3월</v>
          </cell>
          <cell r="F1" t="str">
            <v>4월</v>
          </cell>
          <cell r="G1" t="str">
            <v>5월</v>
          </cell>
          <cell r="H1" t="str">
            <v>6월</v>
          </cell>
          <cell r="I1" t="str">
            <v>7월</v>
          </cell>
          <cell r="J1" t="str">
            <v>8월</v>
          </cell>
          <cell r="K1" t="str">
            <v>9월</v>
          </cell>
          <cell r="L1" t="str">
            <v>10월</v>
          </cell>
          <cell r="M1" t="str">
            <v>11월</v>
          </cell>
          <cell r="N1" t="str">
            <v>12월</v>
          </cell>
        </row>
        <row r="2">
          <cell r="A2">
            <v>1</v>
          </cell>
          <cell r="B2" t="str">
            <v>갑순이</v>
          </cell>
        </row>
        <row r="3">
          <cell r="A3">
            <v>2</v>
          </cell>
          <cell r="B3" t="str">
            <v>을순이</v>
          </cell>
        </row>
        <row r="4">
          <cell r="A4">
            <v>3</v>
          </cell>
          <cell r="B4" t="str">
            <v>병순이</v>
          </cell>
        </row>
        <row r="5">
          <cell r="A5">
            <v>4</v>
          </cell>
          <cell r="B5" t="str">
            <v>정순이</v>
          </cell>
        </row>
        <row r="6">
          <cell r="A6">
            <v>5</v>
          </cell>
          <cell r="B6" t="str">
            <v>진순이</v>
          </cell>
        </row>
        <row r="7">
          <cell r="A7">
            <v>6</v>
          </cell>
          <cell r="B7" t="str">
            <v>사순이</v>
          </cell>
        </row>
        <row r="8">
          <cell r="A8">
            <v>7</v>
          </cell>
          <cell r="B8" t="str">
            <v>오순이</v>
          </cell>
        </row>
        <row r="9">
          <cell r="A9">
            <v>8</v>
          </cell>
          <cell r="B9" t="str">
            <v>미순이</v>
          </cell>
        </row>
        <row r="10">
          <cell r="A10">
            <v>9</v>
          </cell>
          <cell r="B10" t="str">
            <v>신순이</v>
          </cell>
        </row>
        <row r="11">
          <cell r="A11">
            <v>10</v>
          </cell>
          <cell r="B11" t="str">
            <v>유순이</v>
          </cell>
        </row>
        <row r="12">
          <cell r="A12">
            <v>11</v>
          </cell>
          <cell r="B12" t="str">
            <v>술순이</v>
          </cell>
        </row>
        <row r="13">
          <cell r="B13" t="str">
            <v>계</v>
          </cell>
        </row>
      </sheetData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차"/>
      <sheetName val="2018신규연차"/>
      <sheetName val="2018복무"/>
      <sheetName val="2017달력"/>
      <sheetName val="2018달력"/>
      <sheetName val="참고"/>
    </sheetNames>
    <sheetDataSet>
      <sheetData sheetId="0" refreshError="1"/>
      <sheetData sheetId="1" refreshError="1"/>
      <sheetData sheetId="2">
        <row r="1">
          <cell r="B1" t="str">
            <v>2018년도 교육공무직 복무상황(2018.3.1.~2019.2.28)</v>
          </cell>
        </row>
        <row r="3">
          <cell r="B3" t="str">
            <v>성명</v>
          </cell>
          <cell r="C3" t="str">
            <v>근무상황</v>
          </cell>
          <cell r="G3" t="str">
            <v>일수</v>
          </cell>
          <cell r="H3" t="str">
            <v>시간</v>
          </cell>
          <cell r="I3" t="str">
            <v>분</v>
          </cell>
        </row>
        <row r="4">
          <cell r="B4" t="str">
            <v>고상임</v>
          </cell>
          <cell r="C4" t="str">
            <v>기타</v>
          </cell>
          <cell r="G4">
            <v>1</v>
          </cell>
          <cell r="H4">
            <v>0</v>
          </cell>
          <cell r="I4">
            <v>0</v>
          </cell>
        </row>
        <row r="5">
          <cell r="B5" t="str">
            <v>고상임</v>
          </cell>
          <cell r="C5" t="str">
            <v>기타</v>
          </cell>
          <cell r="G5">
            <v>18</v>
          </cell>
          <cell r="H5">
            <v>0</v>
          </cell>
          <cell r="I5">
            <v>0</v>
          </cell>
        </row>
        <row r="6">
          <cell r="B6" t="str">
            <v>고상임</v>
          </cell>
          <cell r="C6" t="str">
            <v>기타</v>
          </cell>
          <cell r="G6">
            <v>1</v>
          </cell>
          <cell r="H6">
            <v>0</v>
          </cell>
          <cell r="I6">
            <v>0</v>
          </cell>
        </row>
        <row r="7">
          <cell r="B7" t="str">
            <v>고상임</v>
          </cell>
          <cell r="C7" t="str">
            <v>기타</v>
          </cell>
          <cell r="G7">
            <v>0</v>
          </cell>
          <cell r="H7">
            <v>6</v>
          </cell>
          <cell r="I7">
            <v>0</v>
          </cell>
        </row>
        <row r="8">
          <cell r="B8" t="str">
            <v>고상임</v>
          </cell>
          <cell r="C8" t="str">
            <v>기타</v>
          </cell>
          <cell r="G8">
            <v>29</v>
          </cell>
          <cell r="H8">
            <v>0</v>
          </cell>
          <cell r="I8">
            <v>0</v>
          </cell>
        </row>
        <row r="9">
          <cell r="B9" t="str">
            <v>김경화</v>
          </cell>
          <cell r="C9" t="str">
            <v>기타</v>
          </cell>
          <cell r="G9">
            <v>0</v>
          </cell>
          <cell r="H9">
            <v>6</v>
          </cell>
          <cell r="I9">
            <v>0</v>
          </cell>
        </row>
        <row r="10">
          <cell r="B10" t="str">
            <v>김경화</v>
          </cell>
          <cell r="C10" t="str">
            <v>기타</v>
          </cell>
          <cell r="G10">
            <v>0</v>
          </cell>
          <cell r="H10">
            <v>6</v>
          </cell>
          <cell r="I10">
            <v>0</v>
          </cell>
        </row>
        <row r="11">
          <cell r="B11" t="str">
            <v>김경화</v>
          </cell>
          <cell r="C11" t="str">
            <v>기타</v>
          </cell>
          <cell r="G11">
            <v>0</v>
          </cell>
          <cell r="H11">
            <v>6</v>
          </cell>
          <cell r="I11">
            <v>0</v>
          </cell>
        </row>
        <row r="12">
          <cell r="B12" t="str">
            <v>김경화</v>
          </cell>
          <cell r="C12" t="str">
            <v>기타</v>
          </cell>
          <cell r="G12">
            <v>0</v>
          </cell>
          <cell r="H12">
            <v>6</v>
          </cell>
          <cell r="I12">
            <v>0</v>
          </cell>
        </row>
        <row r="13">
          <cell r="B13" t="str">
            <v>김경화</v>
          </cell>
          <cell r="C13" t="str">
            <v>기타</v>
          </cell>
          <cell r="G13">
            <v>0</v>
          </cell>
          <cell r="H13">
            <v>6</v>
          </cell>
          <cell r="I13">
            <v>0</v>
          </cell>
        </row>
        <row r="14">
          <cell r="B14" t="str">
            <v>김경화</v>
          </cell>
          <cell r="C14" t="str">
            <v>기타</v>
          </cell>
          <cell r="G14">
            <v>0</v>
          </cell>
          <cell r="H14">
            <v>6</v>
          </cell>
          <cell r="I14">
            <v>0</v>
          </cell>
        </row>
        <row r="15">
          <cell r="B15" t="str">
            <v>김경화</v>
          </cell>
          <cell r="C15" t="str">
            <v>기타</v>
          </cell>
          <cell r="G15">
            <v>0</v>
          </cell>
          <cell r="H15">
            <v>6</v>
          </cell>
          <cell r="I15">
            <v>0</v>
          </cell>
        </row>
        <row r="16">
          <cell r="B16" t="str">
            <v>김경화</v>
          </cell>
          <cell r="C16" t="str">
            <v>조퇴</v>
          </cell>
          <cell r="G16">
            <v>0</v>
          </cell>
          <cell r="H16">
            <v>1</v>
          </cell>
          <cell r="I16">
            <v>30</v>
          </cell>
        </row>
        <row r="17">
          <cell r="B17" t="str">
            <v>김옥미</v>
          </cell>
          <cell r="C17" t="str">
            <v>기타</v>
          </cell>
          <cell r="G17">
            <v>1</v>
          </cell>
          <cell r="H17">
            <v>0</v>
          </cell>
          <cell r="I17">
            <v>0</v>
          </cell>
        </row>
        <row r="18">
          <cell r="B18" t="str">
            <v>김옥미</v>
          </cell>
          <cell r="C18" t="str">
            <v>연가</v>
          </cell>
          <cell r="G18">
            <v>2</v>
          </cell>
          <cell r="H18">
            <v>0</v>
          </cell>
          <cell r="I18">
            <v>0</v>
          </cell>
        </row>
        <row r="19">
          <cell r="B19" t="str">
            <v>김옥미</v>
          </cell>
          <cell r="C19" t="str">
            <v>외출</v>
          </cell>
          <cell r="G19">
            <v>0</v>
          </cell>
          <cell r="H19">
            <v>1</v>
          </cell>
          <cell r="I19">
            <v>0</v>
          </cell>
        </row>
        <row r="20">
          <cell r="B20" t="str">
            <v>김옥미</v>
          </cell>
          <cell r="C20" t="str">
            <v>기타</v>
          </cell>
          <cell r="G20">
            <v>1</v>
          </cell>
          <cell r="H20">
            <v>0</v>
          </cell>
          <cell r="I20">
            <v>0</v>
          </cell>
        </row>
        <row r="21">
          <cell r="B21" t="str">
            <v>김옥미</v>
          </cell>
          <cell r="C21" t="str">
            <v>병외출</v>
          </cell>
          <cell r="G21">
            <v>0</v>
          </cell>
          <cell r="H21">
            <v>1</v>
          </cell>
          <cell r="I21">
            <v>0</v>
          </cell>
        </row>
        <row r="22">
          <cell r="B22" t="str">
            <v>김옥미</v>
          </cell>
          <cell r="C22" t="str">
            <v>공가</v>
          </cell>
          <cell r="G22">
            <v>0</v>
          </cell>
          <cell r="H22">
            <v>8</v>
          </cell>
          <cell r="I22">
            <v>0</v>
          </cell>
        </row>
        <row r="23">
          <cell r="B23" t="str">
            <v>김옥미</v>
          </cell>
          <cell r="C23" t="str">
            <v>공가</v>
          </cell>
          <cell r="G23">
            <v>0</v>
          </cell>
          <cell r="H23">
            <v>2</v>
          </cell>
          <cell r="I23">
            <v>0</v>
          </cell>
        </row>
        <row r="24">
          <cell r="B24" t="str">
            <v>김옥미</v>
          </cell>
          <cell r="C24" t="str">
            <v>지참</v>
          </cell>
          <cell r="G24">
            <v>0</v>
          </cell>
          <cell r="H24">
            <v>1</v>
          </cell>
          <cell r="I24">
            <v>0</v>
          </cell>
        </row>
        <row r="25">
          <cell r="B25" t="str">
            <v>김옥미</v>
          </cell>
          <cell r="C25" t="str">
            <v>연가</v>
          </cell>
          <cell r="G25">
            <v>1</v>
          </cell>
          <cell r="H25">
            <v>0</v>
          </cell>
          <cell r="I25">
            <v>0</v>
          </cell>
        </row>
        <row r="26">
          <cell r="B26" t="str">
            <v>김옥미</v>
          </cell>
          <cell r="C26" t="str">
            <v>지참</v>
          </cell>
          <cell r="G26">
            <v>0</v>
          </cell>
          <cell r="H26">
            <v>1</v>
          </cell>
          <cell r="I26">
            <v>0</v>
          </cell>
        </row>
        <row r="27">
          <cell r="B27" t="str">
            <v>김옥미</v>
          </cell>
          <cell r="C27" t="str">
            <v>반일연가</v>
          </cell>
          <cell r="G27">
            <v>0</v>
          </cell>
          <cell r="H27">
            <v>4</v>
          </cell>
          <cell r="I27">
            <v>0</v>
          </cell>
        </row>
        <row r="28">
          <cell r="B28" t="str">
            <v>김옥미</v>
          </cell>
          <cell r="C28" t="str">
            <v>반일연가</v>
          </cell>
          <cell r="G28">
            <v>0</v>
          </cell>
          <cell r="H28">
            <v>4</v>
          </cell>
          <cell r="I28">
            <v>0</v>
          </cell>
        </row>
        <row r="29">
          <cell r="B29" t="str">
            <v>김옥미</v>
          </cell>
          <cell r="C29" t="str">
            <v>반일연가</v>
          </cell>
          <cell r="G29">
            <v>0</v>
          </cell>
          <cell r="H29">
            <v>4</v>
          </cell>
          <cell r="I29">
            <v>0</v>
          </cell>
        </row>
        <row r="30">
          <cell r="B30" t="str">
            <v>김옥미</v>
          </cell>
          <cell r="C30" t="str">
            <v>반일연가</v>
          </cell>
          <cell r="G30">
            <v>0</v>
          </cell>
          <cell r="H30">
            <v>4</v>
          </cell>
          <cell r="I30">
            <v>0</v>
          </cell>
        </row>
        <row r="31">
          <cell r="B31" t="str">
            <v>김옥미</v>
          </cell>
          <cell r="C31" t="str">
            <v>반일연가</v>
          </cell>
          <cell r="G31">
            <v>0</v>
          </cell>
          <cell r="H31">
            <v>4</v>
          </cell>
          <cell r="I31">
            <v>0</v>
          </cell>
        </row>
        <row r="32">
          <cell r="B32" t="str">
            <v>김옥미</v>
          </cell>
          <cell r="C32" t="str">
            <v>반일연가</v>
          </cell>
          <cell r="G32">
            <v>0</v>
          </cell>
          <cell r="H32">
            <v>4</v>
          </cell>
          <cell r="I32">
            <v>0</v>
          </cell>
        </row>
        <row r="33">
          <cell r="B33" t="str">
            <v>김옥미</v>
          </cell>
          <cell r="C33" t="str">
            <v>반일연가</v>
          </cell>
          <cell r="G33">
            <v>0</v>
          </cell>
          <cell r="H33">
            <v>4</v>
          </cell>
          <cell r="I33">
            <v>0</v>
          </cell>
        </row>
        <row r="34">
          <cell r="B34" t="str">
            <v>김옥미</v>
          </cell>
          <cell r="C34" t="str">
            <v>연가</v>
          </cell>
          <cell r="G34">
            <v>1</v>
          </cell>
          <cell r="H34">
            <v>0</v>
          </cell>
          <cell r="I34">
            <v>0</v>
          </cell>
        </row>
        <row r="35">
          <cell r="B35" t="str">
            <v>김옥미</v>
          </cell>
          <cell r="C35" t="str">
            <v>연가</v>
          </cell>
          <cell r="G35">
            <v>1</v>
          </cell>
          <cell r="H35">
            <v>0</v>
          </cell>
          <cell r="I35">
            <v>0</v>
          </cell>
        </row>
        <row r="36">
          <cell r="B36" t="str">
            <v>김옥미</v>
          </cell>
          <cell r="C36" t="str">
            <v>연가</v>
          </cell>
          <cell r="G36">
            <v>1</v>
          </cell>
          <cell r="H36">
            <v>0</v>
          </cell>
          <cell r="I36">
            <v>0</v>
          </cell>
        </row>
        <row r="37">
          <cell r="B37" t="str">
            <v>김옥미</v>
          </cell>
          <cell r="C37" t="str">
            <v>반일연가</v>
          </cell>
          <cell r="G37">
            <v>0</v>
          </cell>
          <cell r="H37">
            <v>4</v>
          </cell>
          <cell r="I37">
            <v>0</v>
          </cell>
        </row>
        <row r="38">
          <cell r="B38" t="str">
            <v>김옥미</v>
          </cell>
          <cell r="C38" t="str">
            <v>연가</v>
          </cell>
          <cell r="G38">
            <v>2</v>
          </cell>
          <cell r="H38">
            <v>0</v>
          </cell>
          <cell r="I38">
            <v>0</v>
          </cell>
        </row>
        <row r="39">
          <cell r="B39" t="str">
            <v>김옥미</v>
          </cell>
          <cell r="C39" t="str">
            <v>지참</v>
          </cell>
          <cell r="G39">
            <v>0</v>
          </cell>
          <cell r="H39">
            <v>1</v>
          </cell>
          <cell r="I39">
            <v>0</v>
          </cell>
        </row>
        <row r="40">
          <cell r="B40" t="str">
            <v>김옥미</v>
          </cell>
          <cell r="C40" t="str">
            <v>연가</v>
          </cell>
          <cell r="G40">
            <v>2</v>
          </cell>
          <cell r="H40">
            <v>0</v>
          </cell>
          <cell r="I40">
            <v>0</v>
          </cell>
        </row>
        <row r="41">
          <cell r="B41" t="str">
            <v>김옥미</v>
          </cell>
          <cell r="C41" t="str">
            <v>연가</v>
          </cell>
          <cell r="G41">
            <v>1</v>
          </cell>
          <cell r="H41">
            <v>0</v>
          </cell>
          <cell r="I41">
            <v>0</v>
          </cell>
        </row>
        <row r="42">
          <cell r="B42" t="str">
            <v>김옥미</v>
          </cell>
          <cell r="C42" t="str">
            <v>반일연가</v>
          </cell>
          <cell r="G42">
            <v>0</v>
          </cell>
          <cell r="H42">
            <v>4</v>
          </cell>
          <cell r="I42">
            <v>0</v>
          </cell>
        </row>
        <row r="43">
          <cell r="B43" t="str">
            <v>김옥미</v>
          </cell>
          <cell r="C43" t="str">
            <v>연가</v>
          </cell>
          <cell r="G43">
            <v>1</v>
          </cell>
          <cell r="H43">
            <v>0</v>
          </cell>
          <cell r="I43">
            <v>0</v>
          </cell>
        </row>
        <row r="44">
          <cell r="B44" t="str">
            <v>김우순</v>
          </cell>
          <cell r="C44" t="str">
            <v>연가</v>
          </cell>
          <cell r="G44">
            <v>1</v>
          </cell>
          <cell r="H44">
            <v>0</v>
          </cell>
          <cell r="I44">
            <v>0</v>
          </cell>
        </row>
        <row r="45">
          <cell r="B45" t="str">
            <v>김우순</v>
          </cell>
          <cell r="C45" t="str">
            <v>기타</v>
          </cell>
          <cell r="G45">
            <v>1</v>
          </cell>
          <cell r="H45">
            <v>0</v>
          </cell>
          <cell r="I45">
            <v>0</v>
          </cell>
        </row>
        <row r="46">
          <cell r="B46" t="str">
            <v>김우순</v>
          </cell>
          <cell r="C46" t="str">
            <v>기타</v>
          </cell>
          <cell r="G46">
            <v>18</v>
          </cell>
          <cell r="H46">
            <v>0</v>
          </cell>
          <cell r="I46">
            <v>0</v>
          </cell>
        </row>
        <row r="47">
          <cell r="B47" t="str">
            <v>김우순</v>
          </cell>
          <cell r="C47" t="str">
            <v>기타</v>
          </cell>
          <cell r="G47">
            <v>1</v>
          </cell>
          <cell r="H47">
            <v>0</v>
          </cell>
          <cell r="I47">
            <v>0</v>
          </cell>
        </row>
        <row r="48">
          <cell r="B48" t="str">
            <v>김우순</v>
          </cell>
          <cell r="C48" t="str">
            <v>기타</v>
          </cell>
          <cell r="G48">
            <v>0</v>
          </cell>
          <cell r="H48">
            <v>2</v>
          </cell>
          <cell r="I48">
            <v>0</v>
          </cell>
        </row>
        <row r="49">
          <cell r="B49" t="str">
            <v>김우순</v>
          </cell>
          <cell r="C49" t="str">
            <v>기타</v>
          </cell>
          <cell r="G49">
            <v>29</v>
          </cell>
          <cell r="H49">
            <v>0</v>
          </cell>
          <cell r="I49">
            <v>0</v>
          </cell>
        </row>
        <row r="50">
          <cell r="B50" t="str">
            <v>김지영</v>
          </cell>
          <cell r="C50" t="str">
            <v>반일연가</v>
          </cell>
          <cell r="G50">
            <v>0</v>
          </cell>
          <cell r="H50">
            <v>4</v>
          </cell>
          <cell r="I50">
            <v>0</v>
          </cell>
        </row>
        <row r="51">
          <cell r="B51" t="str">
            <v>김지영</v>
          </cell>
          <cell r="C51" t="str">
            <v>병가</v>
          </cell>
          <cell r="G51">
            <v>2</v>
          </cell>
          <cell r="H51">
            <v>0</v>
          </cell>
          <cell r="I51">
            <v>0</v>
          </cell>
        </row>
        <row r="52">
          <cell r="B52" t="str">
            <v>김지영</v>
          </cell>
          <cell r="C52" t="str">
            <v>결근</v>
          </cell>
          <cell r="G52">
            <v>1</v>
          </cell>
          <cell r="H52">
            <v>0</v>
          </cell>
          <cell r="I52">
            <v>0</v>
          </cell>
        </row>
        <row r="53">
          <cell r="B53" t="str">
            <v>김지영</v>
          </cell>
          <cell r="C53" t="str">
            <v>기타</v>
          </cell>
          <cell r="G53">
            <v>1</v>
          </cell>
          <cell r="H53">
            <v>0</v>
          </cell>
          <cell r="I53">
            <v>0</v>
          </cell>
        </row>
        <row r="54">
          <cell r="B54" t="str">
            <v>김지영</v>
          </cell>
          <cell r="C54" t="str">
            <v>연가</v>
          </cell>
          <cell r="G54">
            <v>1</v>
          </cell>
          <cell r="H54">
            <v>0</v>
          </cell>
          <cell r="I54">
            <v>0</v>
          </cell>
        </row>
        <row r="55">
          <cell r="B55" t="str">
            <v>김지영</v>
          </cell>
          <cell r="C55" t="str">
            <v>결근</v>
          </cell>
          <cell r="G55">
            <v>5</v>
          </cell>
          <cell r="H55">
            <v>0</v>
          </cell>
          <cell r="I55">
            <v>0</v>
          </cell>
        </row>
        <row r="56">
          <cell r="B56" t="str">
            <v>김지영</v>
          </cell>
          <cell r="C56" t="str">
            <v>기타</v>
          </cell>
          <cell r="G56">
            <v>18</v>
          </cell>
          <cell r="H56">
            <v>0</v>
          </cell>
          <cell r="I56">
            <v>0</v>
          </cell>
        </row>
        <row r="57">
          <cell r="B57" t="str">
            <v>김지영</v>
          </cell>
          <cell r="C57" t="str">
            <v>기타</v>
          </cell>
          <cell r="G57">
            <v>1</v>
          </cell>
          <cell r="H57">
            <v>0</v>
          </cell>
          <cell r="I57">
            <v>0</v>
          </cell>
        </row>
        <row r="58">
          <cell r="B58" t="str">
            <v>김지영</v>
          </cell>
          <cell r="C58" t="str">
            <v>연가</v>
          </cell>
          <cell r="G58">
            <v>1</v>
          </cell>
          <cell r="H58">
            <v>0</v>
          </cell>
          <cell r="I58">
            <v>0</v>
          </cell>
        </row>
        <row r="59">
          <cell r="B59" t="str">
            <v>김지영</v>
          </cell>
          <cell r="C59" t="str">
            <v>연가</v>
          </cell>
          <cell r="G59">
            <v>1</v>
          </cell>
          <cell r="H59">
            <v>0</v>
          </cell>
          <cell r="I59">
            <v>0</v>
          </cell>
        </row>
        <row r="60">
          <cell r="B60" t="str">
            <v>김지영</v>
          </cell>
          <cell r="C60" t="str">
            <v>결근</v>
          </cell>
          <cell r="G60">
            <v>2</v>
          </cell>
          <cell r="H60">
            <v>0</v>
          </cell>
          <cell r="I60">
            <v>0</v>
          </cell>
        </row>
        <row r="61">
          <cell r="B61" t="str">
            <v>김지영</v>
          </cell>
          <cell r="C61" t="str">
            <v>기타</v>
          </cell>
          <cell r="G61">
            <v>0</v>
          </cell>
          <cell r="H61">
            <v>2</v>
          </cell>
          <cell r="I61">
            <v>0</v>
          </cell>
        </row>
        <row r="62">
          <cell r="B62" t="str">
            <v>김지영</v>
          </cell>
          <cell r="C62" t="str">
            <v>병가</v>
          </cell>
          <cell r="G62">
            <v>4</v>
          </cell>
          <cell r="H62">
            <v>0</v>
          </cell>
          <cell r="I62">
            <v>0</v>
          </cell>
        </row>
        <row r="63">
          <cell r="B63" t="str">
            <v>김지영</v>
          </cell>
          <cell r="C63" t="str">
            <v>기타</v>
          </cell>
          <cell r="G63">
            <v>29</v>
          </cell>
          <cell r="H63">
            <v>0</v>
          </cell>
          <cell r="I63">
            <v>0</v>
          </cell>
        </row>
        <row r="64">
          <cell r="B64" t="str">
            <v>배영진</v>
          </cell>
          <cell r="C64" t="str">
            <v>기타</v>
          </cell>
          <cell r="G64">
            <v>1</v>
          </cell>
          <cell r="H64">
            <v>0</v>
          </cell>
          <cell r="I64">
            <v>0</v>
          </cell>
        </row>
        <row r="65">
          <cell r="B65" t="str">
            <v>배영진</v>
          </cell>
          <cell r="C65" t="str">
            <v>병가</v>
          </cell>
          <cell r="G65">
            <v>1</v>
          </cell>
          <cell r="H65">
            <v>0</v>
          </cell>
          <cell r="I65">
            <v>0</v>
          </cell>
        </row>
        <row r="66">
          <cell r="B66" t="str">
            <v>배영진</v>
          </cell>
          <cell r="C66" t="str">
            <v>특별휴가</v>
          </cell>
          <cell r="G66">
            <v>5</v>
          </cell>
          <cell r="H66">
            <v>0</v>
          </cell>
          <cell r="I66">
            <v>0</v>
          </cell>
        </row>
        <row r="67">
          <cell r="B67" t="str">
            <v>배영진</v>
          </cell>
          <cell r="C67" t="str">
            <v>기타</v>
          </cell>
          <cell r="G67">
            <v>18</v>
          </cell>
          <cell r="H67">
            <v>0</v>
          </cell>
          <cell r="I67">
            <v>0</v>
          </cell>
        </row>
        <row r="68">
          <cell r="B68" t="str">
            <v>배영진</v>
          </cell>
          <cell r="C68" t="str">
            <v>기타</v>
          </cell>
          <cell r="G68">
            <v>1</v>
          </cell>
          <cell r="H68">
            <v>0</v>
          </cell>
          <cell r="I68">
            <v>0</v>
          </cell>
        </row>
        <row r="69">
          <cell r="B69" t="str">
            <v>배영진</v>
          </cell>
          <cell r="C69" t="str">
            <v>기타</v>
          </cell>
          <cell r="G69">
            <v>0</v>
          </cell>
          <cell r="H69">
            <v>2</v>
          </cell>
          <cell r="I69">
            <v>0</v>
          </cell>
        </row>
        <row r="70">
          <cell r="B70" t="str">
            <v>배영진</v>
          </cell>
          <cell r="C70" t="str">
            <v>연가</v>
          </cell>
          <cell r="G70">
            <v>1</v>
          </cell>
          <cell r="H70">
            <v>0</v>
          </cell>
          <cell r="I70">
            <v>0</v>
          </cell>
        </row>
        <row r="71">
          <cell r="B71" t="str">
            <v>배영진</v>
          </cell>
          <cell r="C71" t="str">
            <v>기타</v>
          </cell>
          <cell r="G71">
            <v>29</v>
          </cell>
          <cell r="H71">
            <v>0</v>
          </cell>
          <cell r="I71">
            <v>0</v>
          </cell>
        </row>
        <row r="72">
          <cell r="B72" t="str">
            <v>신연지</v>
          </cell>
          <cell r="C72" t="str">
            <v>병조퇴</v>
          </cell>
          <cell r="G72">
            <v>0</v>
          </cell>
          <cell r="H72">
            <v>2</v>
          </cell>
          <cell r="I72">
            <v>30</v>
          </cell>
        </row>
        <row r="73">
          <cell r="B73" t="str">
            <v>신연지</v>
          </cell>
          <cell r="C73" t="str">
            <v>병조퇴</v>
          </cell>
          <cell r="G73">
            <v>0</v>
          </cell>
          <cell r="H73">
            <v>2</v>
          </cell>
          <cell r="I73">
            <v>0</v>
          </cell>
        </row>
        <row r="74">
          <cell r="B74" t="str">
            <v>신연지</v>
          </cell>
          <cell r="C74" t="str">
            <v>병조퇴</v>
          </cell>
          <cell r="G74">
            <v>0</v>
          </cell>
          <cell r="H74">
            <v>1</v>
          </cell>
          <cell r="I74">
            <v>30</v>
          </cell>
        </row>
        <row r="75">
          <cell r="B75" t="str">
            <v>신연지</v>
          </cell>
          <cell r="C75" t="str">
            <v>병가</v>
          </cell>
          <cell r="G75">
            <v>3</v>
          </cell>
          <cell r="H75">
            <v>0</v>
          </cell>
          <cell r="I75">
            <v>0</v>
          </cell>
        </row>
        <row r="76">
          <cell r="B76" t="str">
            <v>신연지</v>
          </cell>
          <cell r="C76" t="str">
            <v>병조퇴</v>
          </cell>
          <cell r="G76">
            <v>0</v>
          </cell>
          <cell r="H76">
            <v>5</v>
          </cell>
          <cell r="I76">
            <v>30</v>
          </cell>
        </row>
        <row r="77">
          <cell r="B77" t="str">
            <v>신연지</v>
          </cell>
          <cell r="C77" t="str">
            <v>병가</v>
          </cell>
          <cell r="G77">
            <v>1</v>
          </cell>
          <cell r="H77">
            <v>0</v>
          </cell>
          <cell r="I77">
            <v>0</v>
          </cell>
        </row>
        <row r="78">
          <cell r="B78" t="str">
            <v>신연지</v>
          </cell>
          <cell r="C78" t="str">
            <v>특별휴가</v>
          </cell>
          <cell r="G78">
            <v>90</v>
          </cell>
          <cell r="H78">
            <v>0</v>
          </cell>
          <cell r="I78">
            <v>0</v>
          </cell>
        </row>
        <row r="79">
          <cell r="B79" t="str">
            <v>신연지</v>
          </cell>
          <cell r="C79" t="str">
            <v>기타</v>
          </cell>
          <cell r="G79">
            <v>5</v>
          </cell>
          <cell r="H79">
            <v>0</v>
          </cell>
          <cell r="I79">
            <v>0</v>
          </cell>
        </row>
        <row r="80">
          <cell r="B80" t="str">
            <v>신연지</v>
          </cell>
          <cell r="C80" t="str">
            <v>기타</v>
          </cell>
          <cell r="G80">
            <v>5</v>
          </cell>
          <cell r="H80">
            <v>0</v>
          </cell>
          <cell r="I80">
            <v>0</v>
          </cell>
        </row>
        <row r="81">
          <cell r="B81" t="str">
            <v>신연지</v>
          </cell>
          <cell r="C81" t="str">
            <v>기타</v>
          </cell>
          <cell r="G81">
            <v>1</v>
          </cell>
          <cell r="H81">
            <v>0</v>
          </cell>
          <cell r="I81">
            <v>0</v>
          </cell>
        </row>
        <row r="82">
          <cell r="B82" t="str">
            <v>신연지</v>
          </cell>
          <cell r="C82" t="str">
            <v>병조퇴</v>
          </cell>
          <cell r="G82">
            <v>0</v>
          </cell>
          <cell r="H82">
            <v>2</v>
          </cell>
          <cell r="I82">
            <v>0</v>
          </cell>
        </row>
        <row r="83">
          <cell r="B83" t="str">
            <v>신연지</v>
          </cell>
          <cell r="C83" t="str">
            <v>조퇴</v>
          </cell>
          <cell r="G83">
            <v>0</v>
          </cell>
          <cell r="H83">
            <v>2</v>
          </cell>
          <cell r="I83">
            <v>0</v>
          </cell>
        </row>
        <row r="84">
          <cell r="B84" t="str">
            <v>신연지</v>
          </cell>
          <cell r="C84" t="str">
            <v>조퇴</v>
          </cell>
          <cell r="G84">
            <v>0</v>
          </cell>
          <cell r="H84">
            <v>2</v>
          </cell>
          <cell r="I84">
            <v>0</v>
          </cell>
        </row>
        <row r="85">
          <cell r="B85" t="str">
            <v>신연지</v>
          </cell>
          <cell r="C85" t="str">
            <v>외출</v>
          </cell>
          <cell r="G85">
            <v>0</v>
          </cell>
          <cell r="H85">
            <v>1</v>
          </cell>
          <cell r="I85">
            <v>0</v>
          </cell>
        </row>
        <row r="86">
          <cell r="B86" t="str">
            <v>신연지</v>
          </cell>
          <cell r="C86" t="str">
            <v>조퇴</v>
          </cell>
          <cell r="G86">
            <v>0</v>
          </cell>
          <cell r="H86">
            <v>1</v>
          </cell>
          <cell r="I86">
            <v>0</v>
          </cell>
        </row>
        <row r="87">
          <cell r="B87" t="str">
            <v>신연지</v>
          </cell>
          <cell r="C87" t="str">
            <v>외출</v>
          </cell>
          <cell r="G87">
            <v>0</v>
          </cell>
          <cell r="H87">
            <v>1</v>
          </cell>
          <cell r="I87">
            <v>0</v>
          </cell>
        </row>
        <row r="88">
          <cell r="B88" t="str">
            <v>신연지</v>
          </cell>
          <cell r="C88" t="str">
            <v>조퇴</v>
          </cell>
          <cell r="G88">
            <v>0</v>
          </cell>
          <cell r="H88">
            <v>2</v>
          </cell>
          <cell r="I88">
            <v>0</v>
          </cell>
        </row>
        <row r="89">
          <cell r="B89" t="str">
            <v>신연지</v>
          </cell>
          <cell r="C89" t="str">
            <v>조퇴</v>
          </cell>
          <cell r="G89">
            <v>0</v>
          </cell>
          <cell r="H89">
            <v>3</v>
          </cell>
          <cell r="I89">
            <v>0</v>
          </cell>
        </row>
        <row r="90">
          <cell r="B90" t="str">
            <v>신연지</v>
          </cell>
          <cell r="C90" t="str">
            <v>조퇴</v>
          </cell>
          <cell r="G90">
            <v>0</v>
          </cell>
          <cell r="H90">
            <v>1</v>
          </cell>
          <cell r="I90">
            <v>0</v>
          </cell>
        </row>
        <row r="91">
          <cell r="B91" t="str">
            <v>신연지</v>
          </cell>
          <cell r="C91" t="str">
            <v>조퇴</v>
          </cell>
          <cell r="G91">
            <v>0</v>
          </cell>
          <cell r="H91">
            <v>3</v>
          </cell>
          <cell r="I91">
            <v>30</v>
          </cell>
        </row>
        <row r="92">
          <cell r="B92" t="str">
            <v>신연지</v>
          </cell>
          <cell r="C92" t="str">
            <v>조퇴</v>
          </cell>
          <cell r="G92">
            <v>0</v>
          </cell>
          <cell r="H92">
            <v>3</v>
          </cell>
          <cell r="I92">
            <v>0</v>
          </cell>
        </row>
        <row r="93">
          <cell r="B93" t="str">
            <v>신연지</v>
          </cell>
          <cell r="C93" t="str">
            <v>조퇴</v>
          </cell>
          <cell r="G93">
            <v>0</v>
          </cell>
          <cell r="H93">
            <v>2</v>
          </cell>
          <cell r="I93">
            <v>0</v>
          </cell>
        </row>
        <row r="94">
          <cell r="B94" t="str">
            <v>신연지</v>
          </cell>
          <cell r="C94" t="str">
            <v>조퇴</v>
          </cell>
          <cell r="G94">
            <v>0</v>
          </cell>
          <cell r="H94">
            <v>1</v>
          </cell>
          <cell r="I94">
            <v>0</v>
          </cell>
        </row>
        <row r="95">
          <cell r="B95" t="str">
            <v>신연지</v>
          </cell>
          <cell r="C95" t="str">
            <v>조퇴</v>
          </cell>
          <cell r="G95">
            <v>0</v>
          </cell>
          <cell r="H95">
            <v>3</v>
          </cell>
          <cell r="I95">
            <v>0</v>
          </cell>
        </row>
        <row r="96">
          <cell r="B96" t="str">
            <v>신연지</v>
          </cell>
          <cell r="C96" t="str">
            <v>외출</v>
          </cell>
          <cell r="G96">
            <v>0</v>
          </cell>
          <cell r="H96">
            <v>1</v>
          </cell>
          <cell r="I96">
            <v>30</v>
          </cell>
        </row>
        <row r="97">
          <cell r="B97" t="str">
            <v>신연지</v>
          </cell>
          <cell r="C97" t="str">
            <v>조퇴</v>
          </cell>
          <cell r="G97">
            <v>0</v>
          </cell>
          <cell r="H97">
            <v>4</v>
          </cell>
          <cell r="I97">
            <v>30</v>
          </cell>
        </row>
        <row r="98">
          <cell r="B98" t="str">
            <v>신연지</v>
          </cell>
          <cell r="C98" t="str">
            <v>조퇴</v>
          </cell>
          <cell r="G98">
            <v>0</v>
          </cell>
          <cell r="H98">
            <v>3</v>
          </cell>
          <cell r="I98">
            <v>0</v>
          </cell>
        </row>
        <row r="99">
          <cell r="B99" t="str">
            <v>신연지</v>
          </cell>
          <cell r="C99" t="str">
            <v>조퇴</v>
          </cell>
          <cell r="G99">
            <v>0</v>
          </cell>
          <cell r="H99">
            <v>5</v>
          </cell>
          <cell r="I99">
            <v>0</v>
          </cell>
        </row>
        <row r="100">
          <cell r="B100" t="str">
            <v>신연지</v>
          </cell>
          <cell r="C100" t="str">
            <v>연가</v>
          </cell>
          <cell r="G100">
            <v>1</v>
          </cell>
          <cell r="H100">
            <v>0</v>
          </cell>
          <cell r="I100">
            <v>0</v>
          </cell>
        </row>
        <row r="101">
          <cell r="B101" t="str">
            <v>신연지</v>
          </cell>
          <cell r="C101" t="str">
            <v>조퇴</v>
          </cell>
          <cell r="G101">
            <v>0</v>
          </cell>
          <cell r="H101">
            <v>5</v>
          </cell>
          <cell r="I101">
            <v>0</v>
          </cell>
        </row>
        <row r="102">
          <cell r="B102" t="str">
            <v>신연지</v>
          </cell>
          <cell r="C102" t="str">
            <v>연가</v>
          </cell>
          <cell r="G102">
            <v>1</v>
          </cell>
          <cell r="H102">
            <v>0</v>
          </cell>
          <cell r="I102">
            <v>0</v>
          </cell>
        </row>
        <row r="103">
          <cell r="B103" t="str">
            <v>안선희</v>
          </cell>
          <cell r="C103" t="str">
            <v>병조퇴</v>
          </cell>
          <cell r="G103">
            <v>0</v>
          </cell>
          <cell r="H103">
            <v>1</v>
          </cell>
          <cell r="I103">
            <v>30</v>
          </cell>
        </row>
        <row r="104">
          <cell r="B104" t="str">
            <v>안선희</v>
          </cell>
          <cell r="C104" t="str">
            <v>병조퇴</v>
          </cell>
          <cell r="G104">
            <v>0</v>
          </cell>
          <cell r="H104">
            <v>4</v>
          </cell>
          <cell r="I104">
            <v>0</v>
          </cell>
        </row>
        <row r="105">
          <cell r="B105" t="str">
            <v>안선희</v>
          </cell>
          <cell r="C105" t="str">
            <v>병조퇴</v>
          </cell>
          <cell r="G105">
            <v>0</v>
          </cell>
          <cell r="H105">
            <v>2</v>
          </cell>
          <cell r="I105">
            <v>30</v>
          </cell>
        </row>
        <row r="106">
          <cell r="B106" t="str">
            <v>안선희</v>
          </cell>
          <cell r="C106" t="str">
            <v>기타</v>
          </cell>
          <cell r="G106">
            <v>1</v>
          </cell>
          <cell r="H106">
            <v>0</v>
          </cell>
          <cell r="I106">
            <v>0</v>
          </cell>
        </row>
        <row r="107">
          <cell r="B107" t="str">
            <v>안선희</v>
          </cell>
          <cell r="C107" t="str">
            <v>병조퇴</v>
          </cell>
          <cell r="G107">
            <v>0</v>
          </cell>
          <cell r="H107">
            <v>4</v>
          </cell>
          <cell r="I107">
            <v>0</v>
          </cell>
        </row>
        <row r="108">
          <cell r="B108" t="str">
            <v>안선희</v>
          </cell>
          <cell r="C108" t="str">
            <v>병조퇴</v>
          </cell>
          <cell r="G108">
            <v>0</v>
          </cell>
          <cell r="H108">
            <v>4</v>
          </cell>
          <cell r="I108">
            <v>0</v>
          </cell>
        </row>
        <row r="109">
          <cell r="B109" t="str">
            <v>안선희</v>
          </cell>
          <cell r="C109" t="str">
            <v>병조퇴</v>
          </cell>
          <cell r="G109">
            <v>0</v>
          </cell>
          <cell r="H109">
            <v>4</v>
          </cell>
          <cell r="I109">
            <v>0</v>
          </cell>
        </row>
        <row r="110">
          <cell r="B110" t="str">
            <v>안선희</v>
          </cell>
          <cell r="C110" t="str">
            <v>병조퇴</v>
          </cell>
          <cell r="G110">
            <v>0</v>
          </cell>
          <cell r="H110">
            <v>4</v>
          </cell>
          <cell r="I110">
            <v>0</v>
          </cell>
        </row>
        <row r="111">
          <cell r="B111" t="str">
            <v>안선희</v>
          </cell>
          <cell r="C111" t="str">
            <v>기타</v>
          </cell>
          <cell r="G111">
            <v>23</v>
          </cell>
          <cell r="H111">
            <v>0</v>
          </cell>
          <cell r="I111">
            <v>0</v>
          </cell>
        </row>
        <row r="112">
          <cell r="B112" t="str">
            <v>안선희</v>
          </cell>
          <cell r="C112" t="str">
            <v>기타</v>
          </cell>
          <cell r="G112">
            <v>1</v>
          </cell>
          <cell r="H112">
            <v>0</v>
          </cell>
          <cell r="I112">
            <v>0</v>
          </cell>
        </row>
        <row r="113">
          <cell r="B113" t="str">
            <v>안선희</v>
          </cell>
          <cell r="C113" t="str">
            <v>조퇴</v>
          </cell>
          <cell r="G113">
            <v>0</v>
          </cell>
          <cell r="H113">
            <v>4</v>
          </cell>
          <cell r="I113">
            <v>30</v>
          </cell>
        </row>
        <row r="114">
          <cell r="B114" t="str">
            <v>안선희</v>
          </cell>
          <cell r="C114" t="str">
            <v>병조퇴</v>
          </cell>
          <cell r="G114">
            <v>0</v>
          </cell>
          <cell r="H114">
            <v>3</v>
          </cell>
          <cell r="I114">
            <v>30</v>
          </cell>
        </row>
        <row r="115">
          <cell r="B115" t="str">
            <v>안선희</v>
          </cell>
          <cell r="C115" t="str">
            <v>병조퇴</v>
          </cell>
          <cell r="G115">
            <v>0</v>
          </cell>
          <cell r="H115">
            <v>1</v>
          </cell>
          <cell r="I115">
            <v>0</v>
          </cell>
        </row>
        <row r="116">
          <cell r="B116" t="str">
            <v>안선희</v>
          </cell>
          <cell r="C116" t="str">
            <v>병조퇴</v>
          </cell>
          <cell r="G116">
            <v>0</v>
          </cell>
          <cell r="H116">
            <v>3</v>
          </cell>
          <cell r="I116">
            <v>0</v>
          </cell>
        </row>
        <row r="117">
          <cell r="B117" t="str">
            <v>안선희</v>
          </cell>
          <cell r="C117" t="str">
            <v>병조퇴</v>
          </cell>
          <cell r="G117">
            <v>0</v>
          </cell>
          <cell r="H117">
            <v>1</v>
          </cell>
          <cell r="I117">
            <v>30</v>
          </cell>
        </row>
        <row r="118">
          <cell r="B118" t="str">
            <v>안선희</v>
          </cell>
          <cell r="C118" t="str">
            <v>병조퇴</v>
          </cell>
          <cell r="G118">
            <v>0</v>
          </cell>
          <cell r="H118">
            <v>4</v>
          </cell>
          <cell r="I118">
            <v>0</v>
          </cell>
        </row>
        <row r="119">
          <cell r="B119" t="str">
            <v>안선희</v>
          </cell>
          <cell r="C119" t="str">
            <v>기타</v>
          </cell>
          <cell r="G119">
            <v>37</v>
          </cell>
          <cell r="H119">
            <v>0</v>
          </cell>
          <cell r="I119">
            <v>0</v>
          </cell>
        </row>
        <row r="120">
          <cell r="B120" t="str">
            <v>양순자</v>
          </cell>
          <cell r="C120" t="str">
            <v>병조퇴</v>
          </cell>
          <cell r="G120">
            <v>0</v>
          </cell>
          <cell r="H120">
            <v>2</v>
          </cell>
          <cell r="I120">
            <v>0</v>
          </cell>
        </row>
        <row r="121">
          <cell r="B121" t="str">
            <v>양순자</v>
          </cell>
          <cell r="C121" t="str">
            <v>병조퇴</v>
          </cell>
          <cell r="G121">
            <v>0</v>
          </cell>
          <cell r="H121">
            <v>4</v>
          </cell>
          <cell r="I121">
            <v>30</v>
          </cell>
        </row>
        <row r="122">
          <cell r="B122" t="str">
            <v>양순자</v>
          </cell>
          <cell r="C122" t="str">
            <v>기타</v>
          </cell>
          <cell r="G122">
            <v>1</v>
          </cell>
          <cell r="H122">
            <v>0</v>
          </cell>
          <cell r="I122">
            <v>0</v>
          </cell>
        </row>
        <row r="123">
          <cell r="B123" t="str">
            <v>양순자</v>
          </cell>
          <cell r="C123" t="str">
            <v>조퇴</v>
          </cell>
          <cell r="G123">
            <v>0</v>
          </cell>
          <cell r="H123">
            <v>1</v>
          </cell>
          <cell r="I123">
            <v>30</v>
          </cell>
        </row>
        <row r="124">
          <cell r="B124" t="str">
            <v>양순자</v>
          </cell>
          <cell r="C124" t="str">
            <v>기타</v>
          </cell>
          <cell r="G124">
            <v>12</v>
          </cell>
          <cell r="H124">
            <v>0</v>
          </cell>
          <cell r="I124">
            <v>0</v>
          </cell>
        </row>
        <row r="125">
          <cell r="B125" t="str">
            <v>양순자</v>
          </cell>
          <cell r="C125" t="str">
            <v>기타</v>
          </cell>
          <cell r="G125">
            <v>1</v>
          </cell>
          <cell r="H125">
            <v>4</v>
          </cell>
          <cell r="I125">
            <v>30</v>
          </cell>
        </row>
        <row r="126">
          <cell r="B126" t="str">
            <v>양순자</v>
          </cell>
          <cell r="C126" t="str">
            <v>기타</v>
          </cell>
          <cell r="G126">
            <v>1</v>
          </cell>
          <cell r="H126">
            <v>0</v>
          </cell>
          <cell r="I126">
            <v>0</v>
          </cell>
        </row>
        <row r="127">
          <cell r="B127" t="str">
            <v>양순자</v>
          </cell>
          <cell r="C127" t="str">
            <v>조퇴</v>
          </cell>
          <cell r="G127">
            <v>0</v>
          </cell>
          <cell r="H127">
            <v>2</v>
          </cell>
          <cell r="I127">
            <v>0</v>
          </cell>
        </row>
        <row r="128">
          <cell r="B128" t="str">
            <v>양순자</v>
          </cell>
          <cell r="C128" t="str">
            <v>기타</v>
          </cell>
          <cell r="G128">
            <v>0</v>
          </cell>
          <cell r="H128">
            <v>2</v>
          </cell>
          <cell r="I128">
            <v>0</v>
          </cell>
        </row>
        <row r="129">
          <cell r="B129" t="str">
            <v>양순자</v>
          </cell>
          <cell r="C129" t="str">
            <v>공가</v>
          </cell>
          <cell r="G129">
            <v>0</v>
          </cell>
          <cell r="H129">
            <v>5</v>
          </cell>
          <cell r="I129">
            <v>0</v>
          </cell>
        </row>
        <row r="130">
          <cell r="B130" t="str">
            <v>양순자</v>
          </cell>
          <cell r="C130" t="str">
            <v>기타</v>
          </cell>
          <cell r="G130">
            <v>29</v>
          </cell>
          <cell r="H130">
            <v>0</v>
          </cell>
          <cell r="I130">
            <v>0</v>
          </cell>
        </row>
        <row r="131">
          <cell r="B131" t="str">
            <v>오경근</v>
          </cell>
          <cell r="C131" t="str">
            <v>기타</v>
          </cell>
          <cell r="G131">
            <v>1</v>
          </cell>
          <cell r="H131">
            <v>0</v>
          </cell>
          <cell r="I131">
            <v>0</v>
          </cell>
        </row>
        <row r="132">
          <cell r="B132" t="str">
            <v>오경근</v>
          </cell>
          <cell r="C132" t="str">
            <v>기타</v>
          </cell>
          <cell r="G132">
            <v>18</v>
          </cell>
          <cell r="H132">
            <v>0</v>
          </cell>
          <cell r="I132">
            <v>0</v>
          </cell>
        </row>
        <row r="133">
          <cell r="B133" t="str">
            <v>오경근</v>
          </cell>
          <cell r="C133" t="str">
            <v>기타</v>
          </cell>
          <cell r="G133">
            <v>1</v>
          </cell>
          <cell r="H133">
            <v>0</v>
          </cell>
          <cell r="I133">
            <v>0</v>
          </cell>
        </row>
        <row r="134">
          <cell r="B134" t="str">
            <v>오경근</v>
          </cell>
          <cell r="C134" t="str">
            <v>기타</v>
          </cell>
          <cell r="G134">
            <v>0</v>
          </cell>
          <cell r="H134">
            <v>2</v>
          </cell>
          <cell r="I134">
            <v>0</v>
          </cell>
        </row>
        <row r="135">
          <cell r="B135" t="str">
            <v>오경근</v>
          </cell>
          <cell r="C135" t="str">
            <v>기타</v>
          </cell>
          <cell r="G135">
            <v>29</v>
          </cell>
          <cell r="H135">
            <v>0</v>
          </cell>
          <cell r="I135">
            <v>0</v>
          </cell>
        </row>
        <row r="136">
          <cell r="B136" t="str">
            <v>윤명애</v>
          </cell>
          <cell r="C136" t="str">
            <v>기타</v>
          </cell>
          <cell r="G136">
            <v>1</v>
          </cell>
          <cell r="H136">
            <v>0</v>
          </cell>
          <cell r="I136">
            <v>0</v>
          </cell>
        </row>
        <row r="137">
          <cell r="B137" t="str">
            <v>윤명애</v>
          </cell>
          <cell r="C137" t="str">
            <v>연가</v>
          </cell>
          <cell r="G137">
            <v>1</v>
          </cell>
          <cell r="H137">
            <v>0</v>
          </cell>
          <cell r="I137">
            <v>0</v>
          </cell>
        </row>
        <row r="138">
          <cell r="B138" t="str">
            <v>윤명애</v>
          </cell>
          <cell r="C138" t="str">
            <v>기타</v>
          </cell>
          <cell r="G138">
            <v>18</v>
          </cell>
          <cell r="H138">
            <v>0</v>
          </cell>
          <cell r="I138">
            <v>0</v>
          </cell>
        </row>
        <row r="139">
          <cell r="B139" t="str">
            <v>윤명애</v>
          </cell>
          <cell r="C139" t="str">
            <v>기타</v>
          </cell>
          <cell r="G139">
            <v>1</v>
          </cell>
          <cell r="H139">
            <v>0</v>
          </cell>
          <cell r="I139">
            <v>0</v>
          </cell>
        </row>
        <row r="140">
          <cell r="B140" t="str">
            <v>윤명애</v>
          </cell>
          <cell r="C140" t="str">
            <v>기타</v>
          </cell>
          <cell r="G140">
            <v>0</v>
          </cell>
          <cell r="H140">
            <v>2</v>
          </cell>
          <cell r="I140">
            <v>0</v>
          </cell>
        </row>
        <row r="141">
          <cell r="B141" t="str">
            <v>윤명애</v>
          </cell>
          <cell r="C141" t="str">
            <v>조퇴</v>
          </cell>
          <cell r="G141">
            <v>0</v>
          </cell>
          <cell r="H141">
            <v>2</v>
          </cell>
          <cell r="I141">
            <v>0</v>
          </cell>
        </row>
        <row r="142">
          <cell r="B142" t="str">
            <v>윤명애</v>
          </cell>
          <cell r="C142" t="str">
            <v>연가</v>
          </cell>
          <cell r="G142">
            <v>1</v>
          </cell>
          <cell r="H142">
            <v>0</v>
          </cell>
          <cell r="I142">
            <v>0</v>
          </cell>
        </row>
        <row r="143">
          <cell r="B143" t="str">
            <v>윤명애</v>
          </cell>
          <cell r="C143" t="str">
            <v>기타</v>
          </cell>
          <cell r="G143">
            <v>29</v>
          </cell>
          <cell r="H143">
            <v>0</v>
          </cell>
          <cell r="I143">
            <v>0</v>
          </cell>
        </row>
        <row r="144">
          <cell r="B144" t="str">
            <v>이대근</v>
          </cell>
          <cell r="C144" t="str">
            <v>병가</v>
          </cell>
          <cell r="G144">
            <v>2</v>
          </cell>
          <cell r="H144">
            <v>0</v>
          </cell>
          <cell r="I144">
            <v>0</v>
          </cell>
        </row>
        <row r="145">
          <cell r="B145" t="str">
            <v>이대근</v>
          </cell>
          <cell r="C145" t="str">
            <v>병조퇴</v>
          </cell>
          <cell r="G145">
            <v>0</v>
          </cell>
          <cell r="H145">
            <v>1</v>
          </cell>
          <cell r="I145">
            <v>30</v>
          </cell>
        </row>
        <row r="146">
          <cell r="B146" t="str">
            <v>이대근</v>
          </cell>
          <cell r="C146" t="str">
            <v>병외출</v>
          </cell>
          <cell r="G146">
            <v>0</v>
          </cell>
          <cell r="H146">
            <v>0</v>
          </cell>
          <cell r="I146">
            <v>30</v>
          </cell>
        </row>
        <row r="147">
          <cell r="B147" t="str">
            <v>이대근</v>
          </cell>
          <cell r="C147" t="str">
            <v>병조퇴</v>
          </cell>
          <cell r="G147">
            <v>0</v>
          </cell>
          <cell r="H147">
            <v>1</v>
          </cell>
          <cell r="I147">
            <v>30</v>
          </cell>
        </row>
        <row r="148">
          <cell r="B148" t="str">
            <v>이대근</v>
          </cell>
          <cell r="C148" t="str">
            <v>병조퇴</v>
          </cell>
          <cell r="G148">
            <v>0</v>
          </cell>
          <cell r="H148">
            <v>1</v>
          </cell>
          <cell r="I148">
            <v>30</v>
          </cell>
        </row>
        <row r="149">
          <cell r="B149" t="str">
            <v>이대근</v>
          </cell>
          <cell r="C149" t="str">
            <v>병조퇴</v>
          </cell>
          <cell r="G149">
            <v>0</v>
          </cell>
          <cell r="H149">
            <v>1</v>
          </cell>
          <cell r="I149">
            <v>0</v>
          </cell>
        </row>
        <row r="150">
          <cell r="B150" t="str">
            <v>이대근</v>
          </cell>
          <cell r="C150" t="str">
            <v>연가</v>
          </cell>
          <cell r="G150">
            <v>1</v>
          </cell>
          <cell r="H150">
            <v>0</v>
          </cell>
          <cell r="I150">
            <v>0</v>
          </cell>
        </row>
        <row r="151">
          <cell r="B151" t="str">
            <v>이대근</v>
          </cell>
          <cell r="C151" t="str">
            <v>연가</v>
          </cell>
          <cell r="G151">
            <v>1</v>
          </cell>
          <cell r="H151">
            <v>0</v>
          </cell>
          <cell r="I151">
            <v>0</v>
          </cell>
        </row>
        <row r="152">
          <cell r="B152" t="str">
            <v>이대근</v>
          </cell>
          <cell r="C152" t="str">
            <v>병지참</v>
          </cell>
          <cell r="G152">
            <v>0</v>
          </cell>
          <cell r="H152">
            <v>6</v>
          </cell>
          <cell r="I152">
            <v>0</v>
          </cell>
        </row>
        <row r="153">
          <cell r="B153" t="str">
            <v>이영희</v>
          </cell>
          <cell r="C153" t="str">
            <v>병가</v>
          </cell>
          <cell r="G153">
            <v>1</v>
          </cell>
          <cell r="H153">
            <v>0</v>
          </cell>
          <cell r="I153">
            <v>0</v>
          </cell>
        </row>
        <row r="154">
          <cell r="B154" t="str">
            <v>이영희</v>
          </cell>
          <cell r="C154" t="str">
            <v>기타</v>
          </cell>
          <cell r="G154">
            <v>1</v>
          </cell>
          <cell r="H154">
            <v>0</v>
          </cell>
          <cell r="I154">
            <v>0</v>
          </cell>
        </row>
        <row r="155">
          <cell r="B155" t="str">
            <v>이영희</v>
          </cell>
          <cell r="C155" t="str">
            <v>기타</v>
          </cell>
          <cell r="G155">
            <v>18</v>
          </cell>
          <cell r="H155">
            <v>0</v>
          </cell>
          <cell r="I155">
            <v>0</v>
          </cell>
        </row>
        <row r="156">
          <cell r="B156" t="str">
            <v>이영희</v>
          </cell>
          <cell r="C156" t="str">
            <v>기타</v>
          </cell>
          <cell r="G156">
            <v>1</v>
          </cell>
          <cell r="H156">
            <v>0</v>
          </cell>
          <cell r="I156">
            <v>0</v>
          </cell>
        </row>
        <row r="157">
          <cell r="B157" t="str">
            <v>이영희</v>
          </cell>
          <cell r="C157" t="str">
            <v>기타</v>
          </cell>
          <cell r="G157">
            <v>0</v>
          </cell>
          <cell r="H157">
            <v>2</v>
          </cell>
          <cell r="I157">
            <v>0</v>
          </cell>
        </row>
        <row r="158">
          <cell r="B158" t="str">
            <v>이영희</v>
          </cell>
          <cell r="C158" t="str">
            <v>기타</v>
          </cell>
          <cell r="G158">
            <v>29</v>
          </cell>
          <cell r="H158">
            <v>0</v>
          </cell>
          <cell r="I158">
            <v>0</v>
          </cell>
        </row>
        <row r="159">
          <cell r="B159" t="str">
            <v>이용분</v>
          </cell>
          <cell r="C159" t="str">
            <v>연가</v>
          </cell>
          <cell r="G159">
            <v>1</v>
          </cell>
          <cell r="H159">
            <v>0</v>
          </cell>
          <cell r="I159">
            <v>0</v>
          </cell>
        </row>
        <row r="160">
          <cell r="B160" t="str">
            <v>이용분</v>
          </cell>
          <cell r="C160" t="str">
            <v>특별휴가</v>
          </cell>
          <cell r="G160">
            <v>5</v>
          </cell>
          <cell r="H160">
            <v>0</v>
          </cell>
          <cell r="I160">
            <v>0</v>
          </cell>
        </row>
        <row r="161">
          <cell r="B161" t="str">
            <v>이용분</v>
          </cell>
          <cell r="C161" t="str">
            <v>병가</v>
          </cell>
          <cell r="G161">
            <v>1</v>
          </cell>
          <cell r="H161">
            <v>0</v>
          </cell>
          <cell r="I161">
            <v>0</v>
          </cell>
        </row>
        <row r="162">
          <cell r="B162" t="str">
            <v>이용분</v>
          </cell>
          <cell r="C162" t="str">
            <v>병가</v>
          </cell>
          <cell r="G162">
            <v>1</v>
          </cell>
          <cell r="H162">
            <v>0</v>
          </cell>
          <cell r="I162">
            <v>0</v>
          </cell>
        </row>
        <row r="163">
          <cell r="B163" t="str">
            <v>이용분</v>
          </cell>
          <cell r="C163" t="str">
            <v>병조퇴</v>
          </cell>
          <cell r="G163">
            <v>0</v>
          </cell>
          <cell r="H163">
            <v>2</v>
          </cell>
          <cell r="I163">
            <v>0</v>
          </cell>
        </row>
        <row r="164">
          <cell r="B164" t="str">
            <v>이용분</v>
          </cell>
          <cell r="C164" t="str">
            <v>연가</v>
          </cell>
          <cell r="G164">
            <v>1</v>
          </cell>
          <cell r="H164">
            <v>0</v>
          </cell>
          <cell r="I164">
            <v>0</v>
          </cell>
        </row>
        <row r="165">
          <cell r="B165" t="str">
            <v>이용분</v>
          </cell>
          <cell r="C165" t="str">
            <v>기타</v>
          </cell>
          <cell r="G165">
            <v>1</v>
          </cell>
          <cell r="H165">
            <v>0</v>
          </cell>
          <cell r="I165">
            <v>0</v>
          </cell>
        </row>
        <row r="166">
          <cell r="B166" t="str">
            <v>이용분</v>
          </cell>
          <cell r="C166" t="str">
            <v>기타</v>
          </cell>
          <cell r="G166">
            <v>18</v>
          </cell>
          <cell r="H166">
            <v>0</v>
          </cell>
          <cell r="I166">
            <v>0</v>
          </cell>
        </row>
        <row r="167">
          <cell r="B167" t="str">
            <v>이용분</v>
          </cell>
          <cell r="C167" t="str">
            <v>기타</v>
          </cell>
          <cell r="G167">
            <v>1</v>
          </cell>
          <cell r="H167">
            <v>0</v>
          </cell>
          <cell r="I167">
            <v>0</v>
          </cell>
        </row>
        <row r="168">
          <cell r="B168" t="str">
            <v>이용분</v>
          </cell>
          <cell r="C168" t="str">
            <v>연가</v>
          </cell>
          <cell r="G168">
            <v>2</v>
          </cell>
          <cell r="H168">
            <v>0</v>
          </cell>
          <cell r="I168">
            <v>0</v>
          </cell>
        </row>
        <row r="169">
          <cell r="B169" t="str">
            <v>이용분</v>
          </cell>
          <cell r="C169" t="str">
            <v>기타</v>
          </cell>
          <cell r="G169">
            <v>0</v>
          </cell>
          <cell r="H169">
            <v>2</v>
          </cell>
          <cell r="I169">
            <v>0</v>
          </cell>
        </row>
        <row r="170">
          <cell r="B170" t="str">
            <v>이용분</v>
          </cell>
          <cell r="C170" t="str">
            <v>기타</v>
          </cell>
          <cell r="G170">
            <v>29</v>
          </cell>
          <cell r="H170">
            <v>0</v>
          </cell>
          <cell r="I170">
            <v>0</v>
          </cell>
        </row>
        <row r="171">
          <cell r="B171" t="str">
            <v>정다혜</v>
          </cell>
          <cell r="C171" t="str">
            <v>병조퇴</v>
          </cell>
          <cell r="G171">
            <v>0</v>
          </cell>
          <cell r="H171">
            <v>6</v>
          </cell>
          <cell r="I171">
            <v>0</v>
          </cell>
        </row>
        <row r="172">
          <cell r="B172" t="str">
            <v>정다혜</v>
          </cell>
          <cell r="C172" t="str">
            <v>연가</v>
          </cell>
          <cell r="G172">
            <v>1</v>
          </cell>
          <cell r="H172">
            <v>0</v>
          </cell>
          <cell r="I172">
            <v>0</v>
          </cell>
        </row>
        <row r="173">
          <cell r="B173" t="str">
            <v>정다혜</v>
          </cell>
          <cell r="C173" t="str">
            <v>외출</v>
          </cell>
          <cell r="G173">
            <v>0</v>
          </cell>
          <cell r="H173">
            <v>1</v>
          </cell>
          <cell r="I173">
            <v>0</v>
          </cell>
        </row>
        <row r="174">
          <cell r="B174" t="str">
            <v>정다혜</v>
          </cell>
          <cell r="C174" t="str">
            <v>연가</v>
          </cell>
          <cell r="G174">
            <v>1</v>
          </cell>
          <cell r="H174">
            <v>0</v>
          </cell>
          <cell r="I174">
            <v>0</v>
          </cell>
        </row>
        <row r="175">
          <cell r="B175" t="str">
            <v>정다혜</v>
          </cell>
          <cell r="C175" t="str">
            <v>연가</v>
          </cell>
          <cell r="G175">
            <v>1</v>
          </cell>
          <cell r="H175">
            <v>0</v>
          </cell>
          <cell r="I175">
            <v>0</v>
          </cell>
        </row>
        <row r="176">
          <cell r="B176" t="str">
            <v>정다혜</v>
          </cell>
          <cell r="C176" t="str">
            <v>병조퇴</v>
          </cell>
          <cell r="G176">
            <v>0</v>
          </cell>
          <cell r="H176">
            <v>1</v>
          </cell>
          <cell r="I176">
            <v>0</v>
          </cell>
        </row>
        <row r="177">
          <cell r="B177" t="str">
            <v>정다혜</v>
          </cell>
          <cell r="C177" t="str">
            <v>연가</v>
          </cell>
          <cell r="G177">
            <v>0</v>
          </cell>
          <cell r="H177">
            <v>7</v>
          </cell>
          <cell r="I177">
            <v>0</v>
          </cell>
        </row>
        <row r="178">
          <cell r="B178" t="str">
            <v>정다혜</v>
          </cell>
          <cell r="C178" t="str">
            <v>연가</v>
          </cell>
          <cell r="G178">
            <v>2</v>
          </cell>
          <cell r="H178">
            <v>0</v>
          </cell>
          <cell r="I178">
            <v>0</v>
          </cell>
        </row>
        <row r="179">
          <cell r="B179" t="str">
            <v>최영순</v>
          </cell>
          <cell r="C179" t="str">
            <v>기타</v>
          </cell>
          <cell r="G179">
            <v>1</v>
          </cell>
          <cell r="H179">
            <v>0</v>
          </cell>
          <cell r="I179">
            <v>0</v>
          </cell>
        </row>
        <row r="180">
          <cell r="B180" t="str">
            <v>최영순</v>
          </cell>
          <cell r="C180" t="str">
            <v>기타</v>
          </cell>
          <cell r="G180">
            <v>18</v>
          </cell>
          <cell r="H180">
            <v>0</v>
          </cell>
          <cell r="I180">
            <v>0</v>
          </cell>
        </row>
        <row r="181">
          <cell r="B181" t="str">
            <v>최영순</v>
          </cell>
          <cell r="C181" t="str">
            <v>병조퇴</v>
          </cell>
          <cell r="G181">
            <v>0</v>
          </cell>
          <cell r="H181">
            <v>3</v>
          </cell>
          <cell r="I181">
            <v>0</v>
          </cell>
        </row>
        <row r="182">
          <cell r="B182" t="str">
            <v>최영순</v>
          </cell>
          <cell r="C182" t="str">
            <v>기타</v>
          </cell>
          <cell r="G182">
            <v>1</v>
          </cell>
          <cell r="H182">
            <v>0</v>
          </cell>
          <cell r="I182">
            <v>0</v>
          </cell>
        </row>
        <row r="183">
          <cell r="B183" t="str">
            <v>최영순</v>
          </cell>
          <cell r="C183" t="str">
            <v>기타</v>
          </cell>
          <cell r="G183">
            <v>0</v>
          </cell>
          <cell r="H183">
            <v>2</v>
          </cell>
          <cell r="I183">
            <v>0</v>
          </cell>
        </row>
        <row r="184">
          <cell r="B184" t="str">
            <v>최영순</v>
          </cell>
          <cell r="C184" t="str">
            <v>병가</v>
          </cell>
          <cell r="G184">
            <v>3</v>
          </cell>
          <cell r="H184">
            <v>0</v>
          </cell>
          <cell r="I184">
            <v>0</v>
          </cell>
        </row>
        <row r="185">
          <cell r="B185" t="str">
            <v>최영순</v>
          </cell>
          <cell r="C185" t="str">
            <v>기타</v>
          </cell>
          <cell r="G185">
            <v>29</v>
          </cell>
          <cell r="H185">
            <v>0</v>
          </cell>
          <cell r="I185">
            <v>0</v>
          </cell>
        </row>
        <row r="186">
          <cell r="B186" t="str">
            <v>최영순</v>
          </cell>
          <cell r="C186" t="str">
            <v>연가</v>
          </cell>
          <cell r="G186">
            <v>1</v>
          </cell>
          <cell r="H186">
            <v>0</v>
          </cell>
          <cell r="I186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사항"/>
      <sheetName val="근무상황부"/>
      <sheetName val="소급내역"/>
      <sheetName val="소급참고"/>
      <sheetName val="급여내역"/>
      <sheetName val="개인명세서"/>
      <sheetName val="보험료(참고)"/>
      <sheetName val="개발전용"/>
      <sheetName val="근무상황 계산"/>
      <sheetName val="주휴수당 계산"/>
      <sheetName val="출산휴가 산정(가족,학비)"/>
      <sheetName val="자료"/>
    </sheetNames>
    <sheetDataSet>
      <sheetData sheetId="0">
        <row r="1">
          <cell r="B1" t="str">
            <v>[충남초등학교]</v>
          </cell>
        </row>
        <row r="2">
          <cell r="B2" t="str">
            <v>교육공무직원 급여산출 기본사항</v>
          </cell>
        </row>
        <row r="4">
          <cell r="B4" t="str">
            <v>(기본사항 입력)</v>
          </cell>
        </row>
        <row r="5">
          <cell r="B5" t="str">
            <v>직</v>
          </cell>
        </row>
        <row r="7">
          <cell r="B7" t="str">
            <v>조리원</v>
          </cell>
        </row>
        <row r="8">
          <cell r="B8" t="str">
            <v>조리사</v>
          </cell>
        </row>
        <row r="9">
          <cell r="B9" t="str">
            <v>교무행정사</v>
          </cell>
        </row>
        <row r="10">
          <cell r="B10" t="str">
            <v>초등돌봄전담사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L2" t="str">
            <v>영양사</v>
          </cell>
        </row>
        <row r="3">
          <cell r="L3" t="str">
            <v>교무행정사</v>
          </cell>
        </row>
        <row r="4">
          <cell r="L4" t="str">
            <v>전문상담사</v>
          </cell>
        </row>
        <row r="5">
          <cell r="L5" t="str">
            <v>교무행정실무원</v>
          </cell>
        </row>
        <row r="6">
          <cell r="L6" t="str">
            <v>행정실무원(월급제)</v>
          </cell>
        </row>
        <row r="7">
          <cell r="L7" t="str">
            <v>조리사</v>
          </cell>
        </row>
        <row r="8">
          <cell r="L8" t="str">
            <v>조리원</v>
          </cell>
        </row>
        <row r="9">
          <cell r="L9" t="str">
            <v>특수교육실무원</v>
          </cell>
        </row>
        <row r="10">
          <cell r="L10" t="str">
            <v>과학실험실무원</v>
          </cell>
        </row>
        <row r="11">
          <cell r="L11" t="str">
            <v>전산실무원</v>
          </cell>
        </row>
        <row r="12">
          <cell r="L12" t="str">
            <v>전산실무_자격</v>
          </cell>
        </row>
        <row r="13">
          <cell r="L13" t="str">
            <v>초등돌봄전담사</v>
          </cell>
        </row>
        <row r="14">
          <cell r="L14" t="str">
            <v>운동부코치</v>
          </cell>
        </row>
        <row r="15">
          <cell r="L15" t="str">
            <v>초등스포츠강사</v>
          </cell>
        </row>
        <row r="16">
          <cell r="L16" t="str">
            <v>영어회화전문강사</v>
          </cell>
        </row>
        <row r="17">
          <cell r="L17" t="str">
            <v>교육복지사(기관)</v>
          </cell>
        </row>
        <row r="18">
          <cell r="L18" t="str">
            <v>교육복지사(학교)</v>
          </cell>
        </row>
        <row r="19">
          <cell r="L19" t="str">
            <v>교육복지사(2016.3.1이후)</v>
          </cell>
        </row>
        <row r="20">
          <cell r="L20" t="str">
            <v>치료사(전일제)</v>
          </cell>
        </row>
        <row r="21">
          <cell r="L21" t="str">
            <v>학부모지원전문가</v>
          </cell>
        </row>
        <row r="22">
          <cell r="L22" t="str">
            <v>방과후학교운영실무원</v>
          </cell>
        </row>
        <row r="23">
          <cell r="L23" t="str">
            <v>시각장애교사보조</v>
          </cell>
        </row>
        <row r="24">
          <cell r="L24" t="str">
            <v>사서실무원</v>
          </cell>
        </row>
        <row r="25">
          <cell r="L25" t="str">
            <v>공공도서관야간(주말)근로자</v>
          </cell>
        </row>
        <row r="26">
          <cell r="L26" t="str">
            <v>급식사무원</v>
          </cell>
        </row>
        <row r="27">
          <cell r="L27" t="str">
            <v>매점관리원</v>
          </cell>
        </row>
        <row r="28">
          <cell r="L28" t="str">
            <v>영어센터전담인력</v>
          </cell>
        </row>
        <row r="29">
          <cell r="L29" t="str">
            <v>시설관리원</v>
          </cell>
        </row>
        <row r="30">
          <cell r="L30" t="str">
            <v>청소원</v>
          </cell>
        </row>
        <row r="31">
          <cell r="L31" t="str">
            <v>당직전담인력</v>
          </cell>
        </row>
        <row r="32">
          <cell r="L32" t="str">
            <v>유치원돌봄전담사</v>
          </cell>
        </row>
        <row r="33">
          <cell r="L33" t="str">
            <v>통학차량지도원</v>
          </cell>
        </row>
        <row r="34">
          <cell r="L34" t="str">
            <v>운전원</v>
          </cell>
        </row>
        <row r="35">
          <cell r="L35" t="str">
            <v>수화통역사</v>
          </cell>
        </row>
        <row r="36">
          <cell r="L36" t="str">
            <v>급식배식원</v>
          </cell>
        </row>
        <row r="37">
          <cell r="L37" t="str">
            <v>임상심리사</v>
          </cell>
        </row>
        <row r="38">
          <cell r="L38" t="str">
            <v>대안교육전문가</v>
          </cell>
        </row>
        <row r="39">
          <cell r="L39" t="str">
            <v>취업지원관</v>
          </cell>
        </row>
        <row r="40">
          <cell r="L40" t="str">
            <v>간호조무사</v>
          </cell>
        </row>
        <row r="41">
          <cell r="L41" t="str">
            <v>학교내희망일자리</v>
          </cell>
        </row>
        <row r="42">
          <cell r="L42" t="str">
            <v>영어코디네이터</v>
          </cell>
        </row>
        <row r="43">
          <cell r="L43" t="str">
            <v>학습상담원</v>
          </cell>
        </row>
        <row r="44">
          <cell r="L44" t="str">
            <v>변호사</v>
          </cell>
        </row>
        <row r="45">
          <cell r="L45" t="str">
            <v>사감</v>
          </cell>
        </row>
        <row r="46">
          <cell r="L46" t="str">
            <v>수영강사</v>
          </cell>
        </row>
        <row r="47">
          <cell r="L47" t="str">
            <v>수련지도사</v>
          </cell>
        </row>
        <row r="48">
          <cell r="L48" t="str">
            <v>수련지도원</v>
          </cell>
        </row>
        <row r="49">
          <cell r="L49" t="str">
            <v>도제학교전담인력</v>
          </cell>
        </row>
        <row r="50">
          <cell r="L50" t="str">
            <v>기타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학교별 인적 구성 총괄현황"/>
      <sheetName val="2.학교회계직원 등"/>
      <sheetName val="3.기타(교원대체, 용역등) "/>
      <sheetName val="Sheet3"/>
      <sheetName val="참고사항"/>
      <sheetName val="Sheet1"/>
      <sheetName val="기초"/>
      <sheetName val="선택(시트삭제 금지)"/>
      <sheetName val="직종명(시트삭제금지)"/>
      <sheetName val="별첨2(퇴직연금 보전계획서)"/>
      <sheetName val="참고"/>
      <sheetName val="소정근로일(2019)"/>
      <sheetName val="소정근로일(2018)"/>
      <sheetName val="연차수당내역"/>
      <sheetName val="기초자료(통상임금)"/>
      <sheetName val="달력(현)"/>
    </sheetNames>
    <sheetDataSet>
      <sheetData sheetId="0"/>
      <sheetData sheetId="1"/>
      <sheetData sheetId="2"/>
      <sheetData sheetId="3">
        <row r="2">
          <cell r="H2" t="str">
            <v>○</v>
          </cell>
          <cell r="I2" t="str">
            <v>본청</v>
          </cell>
        </row>
        <row r="3">
          <cell r="H3" t="str">
            <v>×</v>
          </cell>
          <cell r="I3" t="str">
            <v>동부</v>
          </cell>
        </row>
        <row r="4">
          <cell r="I4" t="str">
            <v>서부</v>
          </cell>
        </row>
        <row r="5">
          <cell r="I5" t="str">
            <v>남부</v>
          </cell>
        </row>
        <row r="6">
          <cell r="H6" t="str">
            <v>남</v>
          </cell>
          <cell r="I6" t="str">
            <v>북부</v>
          </cell>
        </row>
        <row r="7">
          <cell r="H7" t="str">
            <v>여</v>
          </cell>
          <cell r="I7" t="str">
            <v>중부</v>
          </cell>
        </row>
        <row r="8">
          <cell r="I8" t="str">
            <v>강동</v>
          </cell>
        </row>
        <row r="9">
          <cell r="I9" t="str">
            <v>강남</v>
          </cell>
        </row>
        <row r="10">
          <cell r="I10" t="str">
            <v>강서</v>
          </cell>
        </row>
        <row r="11">
          <cell r="I11" t="str">
            <v>동작</v>
          </cell>
        </row>
        <row r="12">
          <cell r="I12" t="str">
            <v>성동</v>
          </cell>
        </row>
        <row r="13">
          <cell r="I13" t="str">
            <v>성북</v>
          </cell>
        </row>
      </sheetData>
      <sheetData sheetId="4"/>
      <sheetData sheetId="5"/>
      <sheetData sheetId="6">
        <row r="3">
          <cell r="C3" t="str">
            <v>본청</v>
          </cell>
          <cell r="E3" t="str">
            <v>행정기관</v>
          </cell>
        </row>
        <row r="4">
          <cell r="A4" t="str">
            <v>교육보조사(교무)</v>
          </cell>
          <cell r="C4" t="str">
            <v>지역청</v>
          </cell>
          <cell r="E4" t="str">
            <v>공립</v>
          </cell>
        </row>
        <row r="5">
          <cell r="A5" t="str">
            <v>교육보조사(과학,실습보조)</v>
          </cell>
          <cell r="C5" t="str">
            <v>직속기관</v>
          </cell>
          <cell r="E5" t="str">
            <v>사립</v>
          </cell>
        </row>
        <row r="6">
          <cell r="A6" t="str">
            <v>교육보조사(전산)</v>
          </cell>
          <cell r="C6" t="str">
            <v>단설유</v>
          </cell>
        </row>
        <row r="7">
          <cell r="A7" t="str">
            <v>교육보조사(사서보조)</v>
          </cell>
          <cell r="C7" t="str">
            <v>병설유</v>
          </cell>
        </row>
        <row r="8">
          <cell r="A8" t="str">
            <v>교육보조사(유치원교육보조)</v>
          </cell>
          <cell r="C8" t="str">
            <v>초</v>
          </cell>
        </row>
        <row r="9">
          <cell r="A9" t="str">
            <v>교무행정지원사</v>
          </cell>
          <cell r="C9" t="str">
            <v>중</v>
          </cell>
        </row>
        <row r="10">
          <cell r="A10" t="str">
            <v>구학부모회직원(사무)</v>
          </cell>
          <cell r="C10" t="str">
            <v>고</v>
          </cell>
        </row>
        <row r="11">
          <cell r="A11" t="str">
            <v>구학부모회직원(조무)</v>
          </cell>
          <cell r="C11" t="str">
            <v>특수</v>
          </cell>
        </row>
        <row r="12">
          <cell r="A12" t="str">
            <v>급식배식원</v>
          </cell>
          <cell r="C12" t="str">
            <v>각종</v>
          </cell>
        </row>
        <row r="13">
          <cell r="A13" t="str">
            <v>급식사무보조</v>
          </cell>
        </row>
        <row r="14">
          <cell r="A14" t="str">
            <v>기록물정리원</v>
          </cell>
        </row>
        <row r="15">
          <cell r="A15" t="str">
            <v>기업회계직</v>
          </cell>
        </row>
        <row r="16">
          <cell r="A16" t="str">
            <v>도서관연장운영인력</v>
          </cell>
        </row>
        <row r="17">
          <cell r="A17" t="str">
            <v>매점관리</v>
          </cell>
        </row>
        <row r="18">
          <cell r="A18" t="str">
            <v>방과후행정보조(학부모코디맘제외)</v>
          </cell>
        </row>
        <row r="19">
          <cell r="A19" t="str">
            <v>방호원(당직,경비)</v>
          </cell>
        </row>
        <row r="20">
          <cell r="A20" t="str">
            <v>돌봄교실(에듀케어)보조인력</v>
          </cell>
        </row>
        <row r="21">
          <cell r="A21" t="str">
            <v>사감</v>
          </cell>
        </row>
        <row r="22">
          <cell r="A22" t="str">
            <v>사서</v>
          </cell>
        </row>
        <row r="23">
          <cell r="A23" t="str">
            <v>사회복지사</v>
          </cell>
        </row>
        <row r="24">
          <cell r="A24" t="str">
            <v>생활지도보조</v>
          </cell>
        </row>
        <row r="25">
          <cell r="A25" t="str">
            <v>수련지도사</v>
          </cell>
        </row>
        <row r="26">
          <cell r="A26" t="str">
            <v>시설관리(보조)</v>
          </cell>
        </row>
        <row r="27">
          <cell r="A27" t="str">
            <v>시설사업소기능공</v>
          </cell>
        </row>
        <row r="28">
          <cell r="A28" t="str">
            <v>영양사</v>
          </cell>
        </row>
        <row r="29">
          <cell r="A29" t="str">
            <v>운전원</v>
          </cell>
        </row>
        <row r="30">
          <cell r="A30" t="str">
            <v>유아교육복지전문가</v>
          </cell>
        </row>
        <row r="31">
          <cell r="A31" t="str">
            <v>유아교육사</v>
          </cell>
        </row>
        <row r="32">
          <cell r="A32" t="str">
            <v>유치원에듀케어강사</v>
          </cell>
        </row>
        <row r="33">
          <cell r="A33" t="str">
            <v>유치원행정보조(단설유치원)</v>
          </cell>
        </row>
        <row r="34">
          <cell r="A34" t="str">
            <v>자율학습감독</v>
          </cell>
        </row>
        <row r="35">
          <cell r="A35" t="str">
            <v>전문상담사</v>
          </cell>
        </row>
        <row r="36">
          <cell r="A36" t="str">
            <v>전임코치</v>
          </cell>
        </row>
        <row r="37">
          <cell r="A37" t="str">
            <v>조리사</v>
          </cell>
        </row>
        <row r="38">
          <cell r="A38" t="str">
            <v>조리종사원</v>
          </cell>
        </row>
        <row r="39">
          <cell r="A39" t="str">
            <v>지역사회교육전문가(사례관리자포함)</v>
          </cell>
        </row>
        <row r="40">
          <cell r="A40" t="str">
            <v>진로상담사(커리어코치포함)</v>
          </cell>
        </row>
        <row r="41">
          <cell r="A41" t="str">
            <v>청소원</v>
          </cell>
        </row>
        <row r="42">
          <cell r="A42" t="str">
            <v>초등돌봄전담강사</v>
          </cell>
        </row>
        <row r="43">
          <cell r="A43" t="str">
            <v>통학차량보조</v>
          </cell>
        </row>
        <row r="44">
          <cell r="A44" t="str">
            <v>특수에듀케어강사</v>
          </cell>
        </row>
        <row r="45">
          <cell r="A45" t="str">
            <v>특수교육보조</v>
          </cell>
        </row>
        <row r="46">
          <cell r="A46" t="str">
            <v>특수교육지원센타전담인력</v>
          </cell>
        </row>
        <row r="47">
          <cell r="A47" t="str">
            <v>평생교육사</v>
          </cell>
        </row>
        <row r="48">
          <cell r="A48" t="str">
            <v>프로젝트조정자</v>
          </cell>
        </row>
        <row r="49">
          <cell r="A49" t="str">
            <v>학교보안관</v>
          </cell>
        </row>
        <row r="50">
          <cell r="A50" t="str">
            <v>학부모상담사</v>
          </cell>
        </row>
        <row r="51">
          <cell r="A51" t="str">
            <v>학습보조인력(준비물)</v>
          </cell>
        </row>
        <row r="52">
          <cell r="A52" t="str">
            <v>행정업무보조</v>
          </cell>
        </row>
        <row r="53">
          <cell r="A53" t="str">
            <v>희망교육사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자료"/>
      <sheetName val="기초자료(3월)"/>
      <sheetName val="직종표"/>
      <sheetName val="급여내역"/>
      <sheetName val="기초"/>
      <sheetName val="Sheet3"/>
    </sheetNames>
    <sheetDataSet>
      <sheetData sheetId="0"/>
      <sheetData sheetId="1"/>
      <sheetData sheetId="2">
        <row r="4">
          <cell r="A4">
            <v>1</v>
          </cell>
          <cell r="B4" t="str">
            <v>교무행정실무원</v>
          </cell>
        </row>
        <row r="5">
          <cell r="A5">
            <v>2</v>
          </cell>
          <cell r="B5" t="str">
            <v>교무행정사</v>
          </cell>
        </row>
        <row r="6">
          <cell r="A6">
            <v>3</v>
          </cell>
          <cell r="B6" t="str">
            <v>과학실험실무원</v>
          </cell>
        </row>
        <row r="7">
          <cell r="A7">
            <v>4</v>
          </cell>
          <cell r="B7" t="str">
            <v>전산실무원</v>
          </cell>
        </row>
        <row r="8">
          <cell r="A8">
            <v>5</v>
          </cell>
          <cell r="B8" t="str">
            <v>시각장애교사보조</v>
          </cell>
        </row>
        <row r="9">
          <cell r="A9">
            <v>6</v>
          </cell>
          <cell r="B9" t="str">
            <v>치료사</v>
          </cell>
        </row>
        <row r="10">
          <cell r="A10">
            <v>7</v>
          </cell>
          <cell r="B10" t="str">
            <v>교육복지사</v>
          </cell>
        </row>
        <row r="11">
          <cell r="A11">
            <v>8</v>
          </cell>
          <cell r="B11" t="str">
            <v>수화통역사</v>
          </cell>
        </row>
        <row r="12">
          <cell r="A12">
            <v>9</v>
          </cell>
          <cell r="B12" t="str">
            <v>영어코디네이터</v>
          </cell>
        </row>
        <row r="13">
          <cell r="A13">
            <v>10</v>
          </cell>
          <cell r="B13" t="str">
            <v>학습상담원</v>
          </cell>
        </row>
        <row r="14">
          <cell r="A14">
            <v>11</v>
          </cell>
          <cell r="B14" t="str">
            <v>학부모지원전문가</v>
          </cell>
        </row>
        <row r="15">
          <cell r="A15">
            <v>12</v>
          </cell>
          <cell r="B15" t="str">
            <v>전문상담사</v>
          </cell>
        </row>
        <row r="16">
          <cell r="A16">
            <v>13</v>
          </cell>
          <cell r="B16" t="str">
            <v>임상심리사</v>
          </cell>
        </row>
        <row r="17">
          <cell r="A17">
            <v>14</v>
          </cell>
          <cell r="B17" t="str">
            <v>대안교육전문가</v>
          </cell>
        </row>
        <row r="18">
          <cell r="A18">
            <v>15</v>
          </cell>
          <cell r="B18" t="str">
            <v>변호사</v>
          </cell>
        </row>
        <row r="19">
          <cell r="A19">
            <v>16</v>
          </cell>
          <cell r="B19" t="str">
            <v>운전원</v>
          </cell>
        </row>
        <row r="20">
          <cell r="A20">
            <v>17</v>
          </cell>
          <cell r="B20" t="str">
            <v>취업지원관</v>
          </cell>
        </row>
        <row r="21">
          <cell r="A21">
            <v>18</v>
          </cell>
          <cell r="B21" t="str">
            <v>공공도서관야간(주말)근로자</v>
          </cell>
        </row>
        <row r="22">
          <cell r="A22">
            <v>19</v>
          </cell>
          <cell r="B22" t="str">
            <v>방과후학교운영실무원</v>
          </cell>
        </row>
        <row r="23">
          <cell r="A23">
            <v>20</v>
          </cell>
          <cell r="B23" t="str">
            <v>특수교육실무원</v>
          </cell>
        </row>
        <row r="24">
          <cell r="A24">
            <v>21</v>
          </cell>
          <cell r="B24" t="str">
            <v>운동부코치</v>
          </cell>
        </row>
        <row r="25">
          <cell r="A25">
            <v>22</v>
          </cell>
          <cell r="B25" t="str">
            <v>영양사</v>
          </cell>
        </row>
        <row r="26">
          <cell r="A26">
            <v>23</v>
          </cell>
          <cell r="B26" t="str">
            <v>조리사</v>
          </cell>
        </row>
        <row r="27">
          <cell r="A27">
            <v>24</v>
          </cell>
          <cell r="B27" t="str">
            <v>조리원</v>
          </cell>
        </row>
        <row r="28">
          <cell r="A28">
            <v>25</v>
          </cell>
          <cell r="B28" t="str">
            <v>유치원돌봄전담사</v>
          </cell>
        </row>
        <row r="29">
          <cell r="A29">
            <v>26</v>
          </cell>
          <cell r="B29" t="str">
            <v>초등돌봄전담사</v>
          </cell>
        </row>
        <row r="30">
          <cell r="A30">
            <v>27</v>
          </cell>
          <cell r="B30" t="str">
            <v>행정실무원</v>
          </cell>
        </row>
        <row r="31">
          <cell r="A31">
            <v>28</v>
          </cell>
          <cell r="B31" t="str">
            <v>학교내희망일자리인력</v>
          </cell>
        </row>
        <row r="32">
          <cell r="A32">
            <v>29</v>
          </cell>
          <cell r="B32" t="str">
            <v>통학차량지도원</v>
          </cell>
        </row>
        <row r="33">
          <cell r="A33">
            <v>30</v>
          </cell>
          <cell r="B33" t="str">
            <v>간호조무사</v>
          </cell>
        </row>
        <row r="34">
          <cell r="A34">
            <v>31</v>
          </cell>
          <cell r="B34" t="str">
            <v>도제학교전담인력</v>
          </cell>
        </row>
        <row r="35">
          <cell r="A35">
            <v>32</v>
          </cell>
          <cell r="B35" t="str">
            <v>급식사무원</v>
          </cell>
        </row>
        <row r="36">
          <cell r="A36">
            <v>33</v>
          </cell>
          <cell r="B36" t="str">
            <v>급식배식원</v>
          </cell>
        </row>
        <row r="37">
          <cell r="A37">
            <v>34</v>
          </cell>
          <cell r="B37" t="str">
            <v>시설관리원</v>
          </cell>
        </row>
        <row r="38">
          <cell r="A38">
            <v>35</v>
          </cell>
          <cell r="B38" t="str">
            <v>매점관리원</v>
          </cell>
        </row>
        <row r="39">
          <cell r="A39">
            <v>36</v>
          </cell>
          <cell r="B39" t="str">
            <v>청소원</v>
          </cell>
        </row>
        <row r="40">
          <cell r="A40">
            <v>37</v>
          </cell>
          <cell r="B40" t="str">
            <v>당직전담인력</v>
          </cell>
        </row>
        <row r="41">
          <cell r="A41">
            <v>38</v>
          </cell>
          <cell r="B41" t="str">
            <v>사감</v>
          </cell>
        </row>
        <row r="42">
          <cell r="A42">
            <v>39</v>
          </cell>
          <cell r="B42" t="str">
            <v>사서실무원</v>
          </cell>
        </row>
        <row r="43">
          <cell r="A43">
            <v>40</v>
          </cell>
          <cell r="B43" t="str">
            <v>수영강사</v>
          </cell>
        </row>
        <row r="44">
          <cell r="A44">
            <v>41</v>
          </cell>
          <cell r="B44" t="str">
            <v>수련지도사</v>
          </cell>
        </row>
        <row r="45">
          <cell r="A45">
            <v>42</v>
          </cell>
          <cell r="B45" t="str">
            <v>수련지도원</v>
          </cell>
        </row>
        <row r="46">
          <cell r="A46">
            <v>43</v>
          </cell>
          <cell r="B46" t="str">
            <v>영어센터전담인력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자료"/>
      <sheetName val="기초자료(3월)"/>
      <sheetName val="직종표"/>
      <sheetName val="급여내역"/>
    </sheetNames>
    <sheetDataSet>
      <sheetData sheetId="0"/>
      <sheetData sheetId="1"/>
      <sheetData sheetId="2">
        <row r="4">
          <cell r="A4">
            <v>1</v>
          </cell>
          <cell r="B4" t="str">
            <v>교무행정실무원</v>
          </cell>
        </row>
        <row r="5">
          <cell r="A5">
            <v>2</v>
          </cell>
          <cell r="B5" t="str">
            <v>교무행정사</v>
          </cell>
        </row>
        <row r="6">
          <cell r="A6">
            <v>3</v>
          </cell>
          <cell r="B6" t="str">
            <v>과학실험실무원</v>
          </cell>
        </row>
        <row r="7">
          <cell r="A7">
            <v>4</v>
          </cell>
          <cell r="B7" t="str">
            <v>전산실무원</v>
          </cell>
        </row>
        <row r="8">
          <cell r="A8">
            <v>5</v>
          </cell>
          <cell r="B8" t="str">
            <v>시각장애교사보조</v>
          </cell>
        </row>
        <row r="9">
          <cell r="A9">
            <v>6</v>
          </cell>
          <cell r="B9" t="str">
            <v>치료사</v>
          </cell>
        </row>
        <row r="10">
          <cell r="A10">
            <v>7</v>
          </cell>
          <cell r="B10" t="str">
            <v>교육복지사</v>
          </cell>
        </row>
        <row r="11">
          <cell r="A11">
            <v>8</v>
          </cell>
          <cell r="B11" t="str">
            <v>수화통역사</v>
          </cell>
        </row>
        <row r="12">
          <cell r="A12">
            <v>9</v>
          </cell>
          <cell r="B12" t="str">
            <v>영어코디네이터</v>
          </cell>
        </row>
        <row r="13">
          <cell r="A13">
            <v>10</v>
          </cell>
          <cell r="B13" t="str">
            <v>학습상담원</v>
          </cell>
        </row>
        <row r="14">
          <cell r="A14">
            <v>11</v>
          </cell>
          <cell r="B14" t="str">
            <v>학부모지원전문가</v>
          </cell>
        </row>
        <row r="15">
          <cell r="A15">
            <v>12</v>
          </cell>
          <cell r="B15" t="str">
            <v>전문상담사</v>
          </cell>
        </row>
        <row r="16">
          <cell r="A16">
            <v>13</v>
          </cell>
          <cell r="B16" t="str">
            <v>임상심리사</v>
          </cell>
        </row>
        <row r="17">
          <cell r="A17">
            <v>14</v>
          </cell>
          <cell r="B17" t="str">
            <v>대안교육전문가</v>
          </cell>
        </row>
        <row r="18">
          <cell r="A18">
            <v>15</v>
          </cell>
          <cell r="B18" t="str">
            <v>변호사</v>
          </cell>
        </row>
        <row r="19">
          <cell r="A19">
            <v>16</v>
          </cell>
          <cell r="B19" t="str">
            <v>운전원</v>
          </cell>
        </row>
        <row r="20">
          <cell r="A20">
            <v>17</v>
          </cell>
          <cell r="B20" t="str">
            <v>취업지원관</v>
          </cell>
        </row>
        <row r="21">
          <cell r="A21">
            <v>18</v>
          </cell>
          <cell r="B21" t="str">
            <v>공공도서관야간(주말)근로자</v>
          </cell>
        </row>
        <row r="22">
          <cell r="A22">
            <v>19</v>
          </cell>
          <cell r="B22" t="str">
            <v>방과후학교운영실무원</v>
          </cell>
        </row>
        <row r="23">
          <cell r="A23">
            <v>20</v>
          </cell>
          <cell r="B23" t="str">
            <v>특수교육실무원</v>
          </cell>
        </row>
        <row r="24">
          <cell r="A24">
            <v>21</v>
          </cell>
          <cell r="B24" t="str">
            <v>운동부코치</v>
          </cell>
        </row>
        <row r="25">
          <cell r="A25">
            <v>22</v>
          </cell>
          <cell r="B25" t="str">
            <v>영양사</v>
          </cell>
        </row>
        <row r="26">
          <cell r="A26">
            <v>23</v>
          </cell>
          <cell r="B26" t="str">
            <v>조리사</v>
          </cell>
        </row>
        <row r="27">
          <cell r="A27">
            <v>24</v>
          </cell>
          <cell r="B27" t="str">
            <v>조리원</v>
          </cell>
        </row>
        <row r="28">
          <cell r="A28">
            <v>25</v>
          </cell>
          <cell r="B28" t="str">
            <v>유치원돌봄전담사</v>
          </cell>
        </row>
        <row r="29">
          <cell r="A29">
            <v>26</v>
          </cell>
          <cell r="B29" t="str">
            <v>초등돌봄전담사</v>
          </cell>
        </row>
        <row r="30">
          <cell r="A30">
            <v>27</v>
          </cell>
          <cell r="B30" t="str">
            <v>행정실무원</v>
          </cell>
        </row>
        <row r="31">
          <cell r="A31">
            <v>28</v>
          </cell>
          <cell r="B31" t="str">
            <v>학교내희망일자리인력</v>
          </cell>
        </row>
        <row r="32">
          <cell r="A32">
            <v>29</v>
          </cell>
          <cell r="B32" t="str">
            <v>통학차량지도원</v>
          </cell>
        </row>
        <row r="33">
          <cell r="A33">
            <v>30</v>
          </cell>
          <cell r="B33" t="str">
            <v>간호조무사</v>
          </cell>
        </row>
        <row r="34">
          <cell r="A34">
            <v>31</v>
          </cell>
          <cell r="B34" t="str">
            <v>도제학교전담인력</v>
          </cell>
        </row>
        <row r="35">
          <cell r="A35">
            <v>32</v>
          </cell>
          <cell r="B35" t="str">
            <v>급식사무원</v>
          </cell>
        </row>
        <row r="36">
          <cell r="A36">
            <v>33</v>
          </cell>
          <cell r="B36" t="str">
            <v>급식배식원</v>
          </cell>
        </row>
        <row r="37">
          <cell r="A37">
            <v>34</v>
          </cell>
          <cell r="B37" t="str">
            <v>시설관리원</v>
          </cell>
        </row>
        <row r="38">
          <cell r="A38">
            <v>35</v>
          </cell>
          <cell r="B38" t="str">
            <v>매점관리원</v>
          </cell>
        </row>
        <row r="39">
          <cell r="A39">
            <v>36</v>
          </cell>
          <cell r="B39" t="str">
            <v>청소원</v>
          </cell>
        </row>
        <row r="40">
          <cell r="A40">
            <v>37</v>
          </cell>
          <cell r="B40" t="str">
            <v>당직전담인력</v>
          </cell>
        </row>
        <row r="41">
          <cell r="A41">
            <v>38</v>
          </cell>
          <cell r="B41" t="str">
            <v>사감</v>
          </cell>
        </row>
        <row r="42">
          <cell r="A42">
            <v>39</v>
          </cell>
          <cell r="B42" t="str">
            <v>사서실무원</v>
          </cell>
        </row>
        <row r="43">
          <cell r="A43">
            <v>40</v>
          </cell>
          <cell r="B43" t="str">
            <v>수영강사</v>
          </cell>
        </row>
        <row r="44">
          <cell r="A44">
            <v>41</v>
          </cell>
          <cell r="B44" t="str">
            <v>수련지도사</v>
          </cell>
        </row>
        <row r="45">
          <cell r="A45">
            <v>42</v>
          </cell>
          <cell r="B45" t="str">
            <v>수련지도원</v>
          </cell>
        </row>
        <row r="46">
          <cell r="A46">
            <v>43</v>
          </cell>
          <cell r="B46" t="str">
            <v>영어센터전담인력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명단"/>
      <sheetName val="직종표"/>
      <sheetName val="직종표(시트삭제 금지)"/>
      <sheetName val="선택(시트삭제 금지)"/>
    </sheetNames>
    <sheetDataSet>
      <sheetData sheetId="0" refreshError="1"/>
      <sheetData sheetId="1">
        <row r="4">
          <cell r="B4" t="str">
            <v>교무행정실무원</v>
          </cell>
        </row>
        <row r="5">
          <cell r="B5" t="str">
            <v>특수교육실무원</v>
          </cell>
        </row>
        <row r="6">
          <cell r="B6" t="str">
            <v>통학차량지도원</v>
          </cell>
        </row>
        <row r="7">
          <cell r="B7" t="str">
            <v>교무행정사</v>
          </cell>
        </row>
        <row r="8">
          <cell r="B8" t="str">
            <v>방과후학교운영실무원</v>
          </cell>
        </row>
        <row r="9">
          <cell r="B9" t="str">
            <v>치료사</v>
          </cell>
        </row>
        <row r="10">
          <cell r="B10" t="str">
            <v>유치원돌봄전담사</v>
          </cell>
        </row>
        <row r="11">
          <cell r="B11" t="str">
            <v>교육복지사</v>
          </cell>
        </row>
        <row r="12">
          <cell r="B12" t="str">
            <v>수화통역사</v>
          </cell>
        </row>
        <row r="13">
          <cell r="B13" t="str">
            <v>학교내희망일자리인력</v>
          </cell>
        </row>
        <row r="14">
          <cell r="B14" t="str">
            <v>시각장애교사보조</v>
          </cell>
        </row>
        <row r="15">
          <cell r="B15" t="str">
            <v>초등돌봄전담사</v>
          </cell>
        </row>
        <row r="16">
          <cell r="B16" t="str">
            <v>영어코디네이터</v>
          </cell>
        </row>
        <row r="17">
          <cell r="B17" t="str">
            <v>학습상담원</v>
          </cell>
        </row>
        <row r="18">
          <cell r="B18" t="str">
            <v>과학실험실무원</v>
          </cell>
        </row>
        <row r="19">
          <cell r="B19" t="str">
            <v>전산실무원</v>
          </cell>
        </row>
        <row r="20">
          <cell r="B20" t="str">
            <v>취업지원관</v>
          </cell>
        </row>
        <row r="21">
          <cell r="B21" t="str">
            <v>영양사</v>
          </cell>
        </row>
        <row r="22">
          <cell r="B22" t="str">
            <v>조리사</v>
          </cell>
        </row>
        <row r="23">
          <cell r="B23" t="str">
            <v>조리원</v>
          </cell>
        </row>
        <row r="24">
          <cell r="B24" t="str">
            <v>운동부코치</v>
          </cell>
        </row>
        <row r="25">
          <cell r="B25" t="str">
            <v>학부모지원전문가</v>
          </cell>
        </row>
        <row r="26">
          <cell r="B26" t="str">
            <v>사회복지사</v>
          </cell>
        </row>
        <row r="27">
          <cell r="B27" t="str">
            <v>전문상담사</v>
          </cell>
        </row>
        <row r="28">
          <cell r="B28" t="str">
            <v>임상심리사</v>
          </cell>
        </row>
        <row r="29">
          <cell r="B29" t="str">
            <v>대안교육전문가</v>
          </cell>
        </row>
        <row r="30">
          <cell r="B30" t="str">
            <v>학교폭력업무지원실무사</v>
          </cell>
        </row>
        <row r="31">
          <cell r="B31" t="str">
            <v>청소년지도사</v>
          </cell>
        </row>
        <row r="32">
          <cell r="B32" t="str">
            <v>변호사</v>
          </cell>
        </row>
        <row r="33">
          <cell r="B33" t="str">
            <v>운전원</v>
          </cell>
        </row>
        <row r="34">
          <cell r="B34" t="str">
            <v>행정실무원</v>
          </cell>
        </row>
        <row r="35">
          <cell r="B35" t="str">
            <v>공공도서관야간(주말)근로자</v>
          </cell>
        </row>
        <row r="36">
          <cell r="B36" t="str">
            <v>급식사무원</v>
          </cell>
        </row>
        <row r="37">
          <cell r="B37" t="str">
            <v>급식배식원</v>
          </cell>
        </row>
        <row r="38">
          <cell r="B38" t="str">
            <v>시설관리원</v>
          </cell>
        </row>
        <row r="39">
          <cell r="B39" t="str">
            <v>매점관리원</v>
          </cell>
        </row>
        <row r="40">
          <cell r="B40" t="str">
            <v>청소원</v>
          </cell>
        </row>
        <row r="41">
          <cell r="B41" t="str">
            <v>당직전담인력</v>
          </cell>
        </row>
        <row r="42">
          <cell r="B42" t="str">
            <v>기업회계직원</v>
          </cell>
        </row>
        <row r="43">
          <cell r="B43" t="str">
            <v>사감</v>
          </cell>
        </row>
        <row r="44">
          <cell r="B44" t="str">
            <v>사서실무원</v>
          </cell>
        </row>
        <row r="45">
          <cell r="B45" t="str">
            <v>수영강사</v>
          </cell>
        </row>
        <row r="46">
          <cell r="B46" t="str">
            <v>수련지도사</v>
          </cell>
        </row>
        <row r="47">
          <cell r="B47" t="str">
            <v>수련지도원</v>
          </cell>
        </row>
        <row r="48">
          <cell r="B48" t="str">
            <v>영어센터전담인력</v>
          </cell>
        </row>
        <row r="49">
          <cell r="B49" t="str">
            <v>예술꽃씨앗코디네이터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I8"/>
  <sheetViews>
    <sheetView tabSelected="1" zoomScale="115" zoomScaleNormal="115" workbookViewId="0">
      <selection activeCell="I7" sqref="I7:J7"/>
    </sheetView>
  </sheetViews>
  <sheetFormatPr defaultRowHeight="16.5"/>
  <cols>
    <col min="1" max="1" width="6.625" style="15" bestFit="1" customWidth="1"/>
    <col min="2" max="2" width="5.75" style="15" customWidth="1"/>
    <col min="3" max="3" width="15.125" style="15" bestFit="1" customWidth="1"/>
    <col min="4" max="4" width="13.75" style="15" customWidth="1"/>
    <col min="5" max="6" width="9.5" style="15" customWidth="1"/>
    <col min="7" max="7" width="14" style="15" customWidth="1"/>
    <col min="8" max="8" width="11" style="15" customWidth="1"/>
    <col min="9" max="10" width="9.375" style="15" customWidth="1"/>
    <col min="11" max="12" width="11.75" style="15" customWidth="1"/>
    <col min="13" max="14" width="9.875" style="15" customWidth="1"/>
    <col min="15" max="15" width="13.375" style="15" bestFit="1" customWidth="1"/>
    <col min="16" max="16" width="11.125" style="15" customWidth="1"/>
    <col min="17" max="17" width="12.375" style="15" customWidth="1"/>
    <col min="18" max="18" width="14" style="15" customWidth="1"/>
    <col min="19" max="19" width="12" style="15" customWidth="1"/>
    <col min="20" max="20" width="12.375" style="15" customWidth="1"/>
    <col min="21" max="24" width="10.375" style="15" customWidth="1"/>
    <col min="25" max="25" width="12" style="15" customWidth="1"/>
    <col min="26" max="26" width="11.625" style="15" customWidth="1"/>
    <col min="27" max="27" width="14.875" style="15" customWidth="1"/>
    <col min="28" max="28" width="8.375" style="15" customWidth="1"/>
    <col min="29" max="29" width="8.625" style="15" customWidth="1"/>
    <col min="30" max="30" width="6.25" style="15" customWidth="1"/>
    <col min="31" max="31" width="8.875" style="15" customWidth="1"/>
    <col min="32" max="32" width="12.625" style="15" customWidth="1"/>
    <col min="33" max="35" width="5.625" style="15" customWidth="1"/>
    <col min="36" max="16384" width="9" style="15"/>
  </cols>
  <sheetData>
    <row r="1" spans="2:35" ht="26.25">
      <c r="B1" s="16"/>
      <c r="C1" s="209"/>
      <c r="D1" s="69" t="s">
        <v>113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12"/>
    </row>
    <row r="2" spans="2:35" ht="24.75" customHeight="1" thickBot="1">
      <c r="B2" s="34"/>
      <c r="C2" s="34"/>
      <c r="E2" s="33"/>
      <c r="F2" s="33"/>
      <c r="G2" s="30"/>
      <c r="H2" s="30"/>
      <c r="I2" s="30"/>
      <c r="J2" s="30"/>
      <c r="K2" s="30"/>
      <c r="L2" s="30"/>
      <c r="M2" s="30"/>
      <c r="N2" s="30"/>
      <c r="O2" s="32"/>
      <c r="P2" s="32"/>
      <c r="Q2" s="32"/>
      <c r="R2" s="116"/>
      <c r="S2" s="32"/>
      <c r="T2" s="32"/>
      <c r="U2" s="31"/>
      <c r="V2" s="31"/>
      <c r="W2" s="31"/>
      <c r="X2" s="31"/>
      <c r="Y2" s="30"/>
      <c r="Z2" s="30"/>
      <c r="AA2" s="30"/>
      <c r="AB2" s="30"/>
      <c r="AC2" s="30"/>
      <c r="AD2" s="30"/>
      <c r="AE2" s="30"/>
      <c r="AF2" s="30"/>
      <c r="AG2" s="117">
        <v>15</v>
      </c>
      <c r="AH2" s="30"/>
      <c r="AI2" s="30"/>
    </row>
    <row r="3" spans="2:35" ht="24.75" customHeight="1" thickBot="1">
      <c r="B3" s="151" t="s">
        <v>0</v>
      </c>
      <c r="C3" s="157" t="s">
        <v>65</v>
      </c>
      <c r="D3" s="157" t="s">
        <v>64</v>
      </c>
      <c r="E3" s="157" t="s">
        <v>1</v>
      </c>
      <c r="F3" s="160" t="s">
        <v>98</v>
      </c>
      <c r="G3" s="154" t="s">
        <v>2</v>
      </c>
      <c r="H3" s="154" t="s">
        <v>70</v>
      </c>
      <c r="I3" s="172" t="s">
        <v>3</v>
      </c>
      <c r="J3" s="173"/>
      <c r="K3" s="166"/>
      <c r="L3" s="167"/>
      <c r="M3" s="177" t="s">
        <v>96</v>
      </c>
      <c r="N3" s="177"/>
      <c r="O3" s="193" t="s">
        <v>4</v>
      </c>
      <c r="P3" s="194"/>
      <c r="Q3" s="194"/>
      <c r="R3" s="194"/>
      <c r="S3" s="194"/>
      <c r="T3" s="195"/>
      <c r="U3" s="178" t="s">
        <v>68</v>
      </c>
      <c r="V3" s="178" t="s">
        <v>71</v>
      </c>
      <c r="W3" s="178" t="s">
        <v>97</v>
      </c>
      <c r="X3" s="184" t="s">
        <v>5</v>
      </c>
      <c r="Y3" s="185"/>
      <c r="Z3" s="185"/>
      <c r="AA3" s="185"/>
      <c r="AB3" s="185"/>
      <c r="AC3" s="185"/>
      <c r="AD3" s="185"/>
      <c r="AE3" s="186"/>
      <c r="AF3" s="189" t="s">
        <v>25</v>
      </c>
      <c r="AG3" s="180" t="s">
        <v>69</v>
      </c>
      <c r="AH3" s="180"/>
      <c r="AI3" s="181"/>
    </row>
    <row r="4" spans="2:35" ht="25.5" customHeight="1">
      <c r="B4" s="152"/>
      <c r="C4" s="158"/>
      <c r="D4" s="158"/>
      <c r="E4" s="158"/>
      <c r="F4" s="161"/>
      <c r="G4" s="155"/>
      <c r="H4" s="155"/>
      <c r="I4" s="175" t="s">
        <v>100</v>
      </c>
      <c r="J4" s="175"/>
      <c r="K4" s="175"/>
      <c r="L4" s="175"/>
      <c r="M4" s="155"/>
      <c r="N4" s="155"/>
      <c r="O4" s="155" t="s">
        <v>21</v>
      </c>
      <c r="P4" s="155" t="s">
        <v>22</v>
      </c>
      <c r="Q4" s="155" t="s">
        <v>6</v>
      </c>
      <c r="R4" s="155"/>
      <c r="S4" s="155"/>
      <c r="T4" s="155"/>
      <c r="U4" s="179"/>
      <c r="V4" s="179"/>
      <c r="W4" s="179"/>
      <c r="X4" s="210">
        <v>2025</v>
      </c>
      <c r="Y4" s="211"/>
      <c r="Z4" s="187"/>
      <c r="AA4" s="210" t="s">
        <v>115</v>
      </c>
      <c r="AB4" s="211"/>
      <c r="AC4" s="211"/>
      <c r="AD4" s="187"/>
      <c r="AE4" s="155" t="s">
        <v>24</v>
      </c>
      <c r="AF4" s="190"/>
      <c r="AG4" s="182"/>
      <c r="AH4" s="182"/>
      <c r="AI4" s="183"/>
    </row>
    <row r="5" spans="2:35" ht="57" customHeight="1" thickBot="1">
      <c r="B5" s="153"/>
      <c r="C5" s="159"/>
      <c r="D5" s="159"/>
      <c r="E5" s="159"/>
      <c r="F5" s="162"/>
      <c r="G5" s="213"/>
      <c r="H5" s="156"/>
      <c r="I5" s="170" t="s">
        <v>17</v>
      </c>
      <c r="J5" s="171"/>
      <c r="K5" s="165" t="s">
        <v>7</v>
      </c>
      <c r="L5" s="165"/>
      <c r="M5" s="191" t="s">
        <v>8</v>
      </c>
      <c r="N5" s="192"/>
      <c r="O5" s="156"/>
      <c r="P5" s="156"/>
      <c r="Q5" s="114" t="s">
        <v>73</v>
      </c>
      <c r="R5" s="114" t="s">
        <v>74</v>
      </c>
      <c r="S5" s="114" t="s">
        <v>75</v>
      </c>
      <c r="T5" s="114" t="s">
        <v>76</v>
      </c>
      <c r="U5" s="179"/>
      <c r="V5" s="179"/>
      <c r="W5" s="179"/>
      <c r="X5" s="72" t="s">
        <v>99</v>
      </c>
      <c r="Y5" s="113" t="s">
        <v>67</v>
      </c>
      <c r="Z5" s="113" t="s">
        <v>66</v>
      </c>
      <c r="AA5" s="113" t="s">
        <v>18</v>
      </c>
      <c r="AB5" s="165" t="s">
        <v>9</v>
      </c>
      <c r="AC5" s="165"/>
      <c r="AD5" s="113" t="s">
        <v>10</v>
      </c>
      <c r="AE5" s="188"/>
      <c r="AF5" s="111">
        <f>K3</f>
        <v>0</v>
      </c>
      <c r="AG5" s="115" t="s">
        <v>23</v>
      </c>
      <c r="AH5" s="73" t="s">
        <v>19</v>
      </c>
      <c r="AI5" s="118" t="s">
        <v>20</v>
      </c>
    </row>
    <row r="6" spans="2:35" s="71" customFormat="1" ht="39.75" customHeight="1" thickTop="1">
      <c r="B6" s="131">
        <f>ROW()-5</f>
        <v>1</v>
      </c>
      <c r="C6" s="132"/>
      <c r="D6" s="133"/>
      <c r="E6" s="134"/>
      <c r="F6" s="135"/>
      <c r="G6" s="212" t="s">
        <v>114</v>
      </c>
      <c r="H6" s="135"/>
      <c r="I6" s="174" t="str">
        <f>IF(DATEDIF(H6,$K$3,"Y")&lt;10,"0"&amp;DATEDIF(H6,$K$3,"Y"),DATEDIF(H6,$K$3,"Y"))&amp;"년"&amp;IF(DATEDIF(H6,$K$3,"YM")&lt;10,"0"&amp;DATEDIF(H6,$K$3,"YM"),DATEDIF(H6,$K$3,"YM"))&amp;"월"</f>
        <v>00년00월</v>
      </c>
      <c r="J6" s="174"/>
      <c r="K6" s="136">
        <v>0</v>
      </c>
      <c r="L6" s="137">
        <v>0</v>
      </c>
      <c r="M6" s="176" t="str">
        <f>DATEDIF(EDATE(H6,K6*12+L6),$K$3,"y")&amp;"년" &amp; DATEDIF(EDATE(H6,K6*12+L6),$K$3,"ym")&amp;"월"</f>
        <v>0년0월</v>
      </c>
      <c r="N6" s="176"/>
      <c r="O6" s="74">
        <f>IF(DATEDIF(EDATE(H6,K6*12+L6),$K$3,"y")=0,1,DATEDIF(EDATE(H6,K6*12+L6),$K$3,"y"))</f>
        <v>1</v>
      </c>
      <c r="P6" s="138">
        <v>0</v>
      </c>
      <c r="Q6" s="75">
        <f>VLOOKUP(P6,참조!$N$3:$O$23,2,0)</f>
        <v>0</v>
      </c>
      <c r="R6" s="99">
        <f>$AG$2</f>
        <v>15</v>
      </c>
      <c r="S6" s="75">
        <f>VLOOKUP(O6,참조!$A$3:$C$34,3,0)</f>
        <v>0</v>
      </c>
      <c r="T6" s="75">
        <f>R6+S6</f>
        <v>15</v>
      </c>
      <c r="U6" s="76">
        <f>IF(Q6+T6&gt;25,"25일",Q6+T6)</f>
        <v>15</v>
      </c>
      <c r="V6" s="139">
        <v>8</v>
      </c>
      <c r="W6" s="77">
        <f>IF(V6=8,209,IF(V6=5,130,104))</f>
        <v>209</v>
      </c>
      <c r="X6" s="78">
        <f>달력!$AK$50</f>
        <v>243</v>
      </c>
      <c r="Y6" s="140"/>
      <c r="Z6" s="140">
        <v>0</v>
      </c>
      <c r="AA6" s="79">
        <f>Y6-Z6</f>
        <v>0</v>
      </c>
      <c r="AB6" s="80" t="e">
        <f>AA6/Y6*100</f>
        <v>#DIV/0!</v>
      </c>
      <c r="AC6" s="81" t="e">
        <f>IF(AB6&gt;=80,"달성","미달성")</f>
        <v>#DIV/0!</v>
      </c>
      <c r="AD6" s="82">
        <v>0</v>
      </c>
      <c r="AE6" s="83" t="e">
        <f>IF(G6="상시전일근무자",IF(AC6="미달성",AD6,ROUNDDOWN((Q6+R6+S6)*AA6/X6,1)),IF(AC6="미달성",AD6,ROUNDDOWN((Q6+R6)*AA6/X6,1)+S6))</f>
        <v>#DIV/0!</v>
      </c>
      <c r="AF6" s="84" t="e">
        <f>IF(AE6&gt;=25,25,CEILING(AE6, 0.5))</f>
        <v>#DIV/0!</v>
      </c>
      <c r="AG6" s="85" t="str">
        <f>IFERROR(INT(AF6),"")</f>
        <v/>
      </c>
      <c r="AH6" s="85" t="str">
        <f>IFERROR(IF(MOD(AF6,1)=0,0,IF(V6=8,4,2)),"")</f>
        <v/>
      </c>
      <c r="AI6" s="119" t="str">
        <f>IFERROR(IF(MOD(AF6,1)=0,0,IF(V6=8,0,IF(V6=5,30,0))),"")</f>
        <v/>
      </c>
    </row>
    <row r="7" spans="2:35" s="71" customFormat="1" ht="39.75" customHeight="1">
      <c r="B7" s="141">
        <f>ROW()-5</f>
        <v>2</v>
      </c>
      <c r="C7" s="142"/>
      <c r="D7" s="143"/>
      <c r="E7" s="144"/>
      <c r="F7" s="145"/>
      <c r="G7" s="86" t="s">
        <v>114</v>
      </c>
      <c r="H7" s="145"/>
      <c r="I7" s="168" t="str">
        <f>IF(DATEDIF(H7,$K$3,"Y")&lt;10,"0"&amp;DATEDIF(H7,$K$3,"Y"),DATEDIF(H7,$K$3,"Y"))&amp;"년"&amp;IF(DATEDIF(H7,$K$3,"YM")&lt;10,"0"&amp;DATEDIF(H7,$K$3,"YM"),DATEDIF(H7,$K$3,"YM"))&amp;"월"</f>
        <v>00년00월</v>
      </c>
      <c r="J7" s="168"/>
      <c r="K7" s="146">
        <v>0</v>
      </c>
      <c r="L7" s="147">
        <v>0</v>
      </c>
      <c r="M7" s="169" t="str">
        <f>DATEDIF(EDATE(H7,K7*12+L7),$K$3,"y")&amp;"년" &amp; DATEDIF(EDATE(H7,K7*12+L7),$K$3,"ym")&amp;"월"</f>
        <v>0년0월</v>
      </c>
      <c r="N7" s="169"/>
      <c r="O7" s="87">
        <f>IF(DATEDIF(EDATE(H7,K7*12+L7),$K$3,"y")=0,1,DATEDIF(EDATE(H7,K7*12+L7),$K$3,"y"))</f>
        <v>1</v>
      </c>
      <c r="P7" s="148">
        <v>0</v>
      </c>
      <c r="Q7" s="88">
        <f>VLOOKUP(P7,참조!$N$3:$O$23,2,0)</f>
        <v>0</v>
      </c>
      <c r="R7" s="100">
        <f>$AG$2</f>
        <v>15</v>
      </c>
      <c r="S7" s="88">
        <f>VLOOKUP(O7,참조!$A$3:$C$34,3,0)</f>
        <v>0</v>
      </c>
      <c r="T7" s="88">
        <f>R7+S7</f>
        <v>15</v>
      </c>
      <c r="U7" s="89">
        <f>IF(Q7+T7&gt;25,"25일",Q7+T7)</f>
        <v>15</v>
      </c>
      <c r="V7" s="149">
        <v>8</v>
      </c>
      <c r="W7" s="90">
        <f>IF(V7=8,209,IF(V7=5,130,104))</f>
        <v>209</v>
      </c>
      <c r="X7" s="91">
        <f>달력!$AK$50</f>
        <v>243</v>
      </c>
      <c r="Y7" s="150"/>
      <c r="Z7" s="150">
        <v>0</v>
      </c>
      <c r="AA7" s="92">
        <f>Y7-Z7</f>
        <v>0</v>
      </c>
      <c r="AB7" s="93" t="e">
        <f>AA7/Y7*100</f>
        <v>#DIV/0!</v>
      </c>
      <c r="AC7" s="94" t="e">
        <f>IF(AB7&gt;=80,"달성","미달성")</f>
        <v>#DIV/0!</v>
      </c>
      <c r="AD7" s="95">
        <v>0</v>
      </c>
      <c r="AE7" s="96" t="e">
        <f>IF(G7="상시전일근무자",IF(AC7="미달성",AD7,ROUNDDOWN((Q7+R7+S7)*AA7/X7,1)),IF(AC7="미달성",AD7,ROUNDDOWN((Q7+R7)*AA7/X7,1)+S7))</f>
        <v>#DIV/0!</v>
      </c>
      <c r="AF7" s="97" t="e">
        <f>IF(AE7&gt;=25,25,CEILING(AE7, 0.5))</f>
        <v>#DIV/0!</v>
      </c>
      <c r="AG7" s="98" t="str">
        <f>IFERROR(INT(AF7),"")</f>
        <v/>
      </c>
      <c r="AH7" s="98" t="str">
        <f>IFERROR(IF(MOD(AF7,1)=0,0,IF(V7=8,4,2)),"")</f>
        <v/>
      </c>
      <c r="AI7" s="120" t="str">
        <f>IFERROR(IF(MOD(AF7,1)=0,0,IF(V7=8,0,IF(V7=5,30,0))),"")</f>
        <v/>
      </c>
    </row>
    <row r="8" spans="2:35" s="71" customFormat="1" ht="39.75" customHeight="1">
      <c r="B8" s="141">
        <f t="shared" ref="B8" si="0">ROW()-5</f>
        <v>3</v>
      </c>
      <c r="C8" s="142"/>
      <c r="D8" s="143"/>
      <c r="E8" s="144"/>
      <c r="F8" s="145"/>
      <c r="G8" s="86" t="s">
        <v>114</v>
      </c>
      <c r="H8" s="145"/>
      <c r="I8" s="163" t="str">
        <f t="shared" ref="I8" si="1">IF(DATEDIF(H8,$K$3,"Y")&lt;10,"0"&amp;DATEDIF(H8,$K$3,"Y"),DATEDIF(H8,$K$3,"Y"))&amp;"년"&amp;IF(DATEDIF(H8,$K$3,"YM")&lt;10,"0"&amp;DATEDIF(H8,$K$3,"YM"),DATEDIF(H8,$K$3,"YM"))&amp;"월"</f>
        <v>00년00월</v>
      </c>
      <c r="J8" s="164"/>
      <c r="K8" s="146">
        <v>0</v>
      </c>
      <c r="L8" s="147">
        <v>0</v>
      </c>
      <c r="M8" s="169" t="str">
        <f t="shared" ref="M8" si="2">DATEDIF(EDATE(H8,K8*12+L8),$K$3,"y")&amp;"년" &amp; DATEDIF(EDATE(H8,K8*12+L8),$K$3,"ym")&amp;"월"</f>
        <v>0년0월</v>
      </c>
      <c r="N8" s="169"/>
      <c r="O8" s="87">
        <f t="shared" ref="O8" si="3">IF(DATEDIF(EDATE(H8,K8*12+L8),$K$3,"y")=0,1,DATEDIF(EDATE(H8,K8*12+L8),$K$3,"y"))</f>
        <v>1</v>
      </c>
      <c r="P8" s="148">
        <v>0</v>
      </c>
      <c r="Q8" s="88">
        <f>VLOOKUP(P8,참조!$N$3:$O$23,2,0)</f>
        <v>0</v>
      </c>
      <c r="R8" s="100">
        <f>$AG$2</f>
        <v>15</v>
      </c>
      <c r="S8" s="88">
        <f>VLOOKUP(O8,참조!$A$3:$C$34,3,0)</f>
        <v>0</v>
      </c>
      <c r="T8" s="88">
        <f t="shared" ref="T8" si="4">R8+S8</f>
        <v>15</v>
      </c>
      <c r="U8" s="89">
        <f t="shared" ref="U8" si="5">IF(Q8+T8&gt;25,"25일",Q8+T8)</f>
        <v>15</v>
      </c>
      <c r="V8" s="149">
        <v>8</v>
      </c>
      <c r="W8" s="90">
        <f t="shared" ref="W8" si="6">IF(V8=8,209,IF(V8=5,130,104))</f>
        <v>209</v>
      </c>
      <c r="X8" s="91">
        <f>달력!$AK$50</f>
        <v>243</v>
      </c>
      <c r="Y8" s="150"/>
      <c r="Z8" s="150">
        <v>0</v>
      </c>
      <c r="AA8" s="92">
        <f t="shared" ref="AA8" si="7">Y8-Z8</f>
        <v>0</v>
      </c>
      <c r="AB8" s="93" t="e">
        <f t="shared" ref="AB8" si="8">AA8/Y8*100</f>
        <v>#DIV/0!</v>
      </c>
      <c r="AC8" s="94" t="e">
        <f t="shared" ref="AC8" si="9">IF(AB8&gt;=80,"달성","미달성")</f>
        <v>#DIV/0!</v>
      </c>
      <c r="AD8" s="95">
        <v>0</v>
      </c>
      <c r="AE8" s="96" t="e">
        <f>IF(G8="상시전일근무자",IF(AC8="미달성",AD8,ROUNDDOWN((Q8+R8+S8)*AA8/X8,1)),IF(AC8="미달성",AD8,ROUNDDOWN((Q8+R8)*AA8/X8,1)+S8))</f>
        <v>#DIV/0!</v>
      </c>
      <c r="AF8" s="97" t="e">
        <f t="shared" ref="AF8" si="10">IF(AE8&gt;=25,25,CEILING(AE8, 0.5))</f>
        <v>#DIV/0!</v>
      </c>
      <c r="AG8" s="98" t="str">
        <f t="shared" ref="AG8" si="11">IFERROR(INT(AF8),"")</f>
        <v/>
      </c>
      <c r="AH8" s="98" t="str">
        <f t="shared" ref="AH8" si="12">IFERROR(IF(MOD(AF8,1)=0,0,IF(V8=8,4,2)),"")</f>
        <v/>
      </c>
      <c r="AI8" s="120" t="str">
        <f t="shared" ref="AI8" si="13">IFERROR(IF(MOD(AF8,1)=0,0,IF(V8=8,0,IF(V8=5,30,0))),"")</f>
        <v/>
      </c>
    </row>
  </sheetData>
  <sheetProtection selectLockedCells="1"/>
  <mergeCells count="34">
    <mergeCell ref="V3:V5"/>
    <mergeCell ref="O4:O5"/>
    <mergeCell ref="P4:P5"/>
    <mergeCell ref="M5:N5"/>
    <mergeCell ref="M8:N8"/>
    <mergeCell ref="Q4:T4"/>
    <mergeCell ref="O3:T3"/>
    <mergeCell ref="U3:U5"/>
    <mergeCell ref="W3:W5"/>
    <mergeCell ref="AG3:AI4"/>
    <mergeCell ref="X3:AE3"/>
    <mergeCell ref="AB5:AC5"/>
    <mergeCell ref="AE4:AE5"/>
    <mergeCell ref="AF3:AF4"/>
    <mergeCell ref="X4:Z4"/>
    <mergeCell ref="AA4:AD4"/>
    <mergeCell ref="I8:J8"/>
    <mergeCell ref="K5:L5"/>
    <mergeCell ref="K3:L3"/>
    <mergeCell ref="I7:J7"/>
    <mergeCell ref="M7:N7"/>
    <mergeCell ref="I5:J5"/>
    <mergeCell ref="I3:J3"/>
    <mergeCell ref="I6:J6"/>
    <mergeCell ref="I4:N4"/>
    <mergeCell ref="M6:N6"/>
    <mergeCell ref="M3:N3"/>
    <mergeCell ref="B3:B5"/>
    <mergeCell ref="H3:H5"/>
    <mergeCell ref="C3:C5"/>
    <mergeCell ref="D3:D5"/>
    <mergeCell ref="E3:E5"/>
    <mergeCell ref="G3:G5"/>
    <mergeCell ref="F3:F5"/>
  </mergeCells>
  <phoneticPr fontId="3" type="noConversion"/>
  <conditionalFormatting sqref="AC6:AC8">
    <cfRule type="containsText" dxfId="33" priority="1" operator="containsText" text="미달성">
      <formula>NOT(ISERROR(SEARCH("미달성",AC6)))</formula>
    </cfRule>
  </conditionalFormatting>
  <dataValidations count="2">
    <dataValidation type="list" allowBlank="1" showErrorMessage="1" sqref="G6:G8" xr:uid="{00000000-0002-0000-0000-000001000000}">
      <formula1>"상시전일근무자, 방학중비근무자"</formula1>
    </dataValidation>
    <dataValidation type="list" allowBlank="1" showInputMessage="1" showErrorMessage="1" sqref="R6:R8" xr:uid="{DB1CF632-529D-4410-A7BD-94EF1E17FC26}">
      <formula1>"15"</formula1>
    </dataValidation>
  </dataValidations>
  <pageMargins left="0.59055118110236227" right="0.23622047244094491" top="0.56000000000000005" bottom="0.23622047244094491" header="0" footer="0"/>
  <pageSetup paperSize="9" scale="6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D8C5-5A72-4490-972F-6F75989266FA}">
  <sheetPr>
    <tabColor rgb="FF00B050"/>
    <pageSetUpPr fitToPage="1"/>
  </sheetPr>
  <dimension ref="B1:AK5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6" sqref="A6"/>
      <selection pane="bottomRight"/>
    </sheetView>
  </sheetViews>
  <sheetFormatPr defaultColWidth="9" defaultRowHeight="13.5"/>
  <cols>
    <col min="1" max="1" width="1.875" style="37" customWidth="1"/>
    <col min="2" max="2" width="10.125" style="37" customWidth="1"/>
    <col min="3" max="33" width="4.75" style="37" customWidth="1"/>
    <col min="34" max="34" width="2.5" style="37" customWidth="1"/>
    <col min="35" max="37" width="11.625" style="37" customWidth="1"/>
    <col min="38" max="16384" width="9" style="37"/>
  </cols>
  <sheetData>
    <row r="1" spans="2:37" ht="21" customHeight="1">
      <c r="B1" s="35"/>
      <c r="C1" s="36" t="s">
        <v>77</v>
      </c>
      <c r="G1" s="38" t="s">
        <v>78</v>
      </c>
      <c r="H1" s="39"/>
      <c r="N1" s="40"/>
      <c r="O1" s="41"/>
      <c r="P1" s="41"/>
      <c r="Q1" s="41"/>
      <c r="R1" s="41"/>
      <c r="Z1" s="42" t="s">
        <v>79</v>
      </c>
      <c r="AG1" s="43"/>
      <c r="AI1" s="44">
        <f>DATE(B1,1,1)</f>
        <v>1</v>
      </c>
      <c r="AJ1" s="44">
        <f>DATE(B1,12,IF(DAY(EOMONTH(B37,0))=31,31,DAY(AD37+1)))</f>
        <v>366</v>
      </c>
    </row>
    <row r="2" spans="2:37" ht="18.75" customHeight="1">
      <c r="AF2" s="45"/>
      <c r="AG2" s="46"/>
      <c r="AI2" s="47">
        <f>DATE(B1,3,1)</f>
        <v>61</v>
      </c>
      <c r="AJ2" s="47">
        <f>DATE(B1+1,2,IF(DAY(EOMONTH(B43,0))=28,28,DAY(AD43+1)))</f>
        <v>425</v>
      </c>
    </row>
    <row r="3" spans="2:37" ht="31.5" customHeight="1">
      <c r="B3" s="48" t="s">
        <v>80</v>
      </c>
      <c r="C3" s="201" t="s">
        <v>104</v>
      </c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I3" s="49" t="s">
        <v>81</v>
      </c>
      <c r="AJ3" s="50" t="s">
        <v>82</v>
      </c>
      <c r="AK3" s="51" t="s">
        <v>83</v>
      </c>
    </row>
    <row r="4" spans="2:37">
      <c r="B4" s="202">
        <f>DATE(B1,1,1)</f>
        <v>1</v>
      </c>
      <c r="C4" s="52">
        <f>B4</f>
        <v>1</v>
      </c>
      <c r="D4" s="52">
        <f>C4+1</f>
        <v>2</v>
      </c>
      <c r="E4" s="52">
        <f t="shared" ref="E4:AG4" si="0">D4+1</f>
        <v>3</v>
      </c>
      <c r="F4" s="52">
        <f t="shared" si="0"/>
        <v>4</v>
      </c>
      <c r="G4" s="52">
        <f t="shared" si="0"/>
        <v>5</v>
      </c>
      <c r="H4" s="52">
        <f t="shared" si="0"/>
        <v>6</v>
      </c>
      <c r="I4" s="52">
        <f t="shared" si="0"/>
        <v>7</v>
      </c>
      <c r="J4" s="52">
        <f t="shared" si="0"/>
        <v>8</v>
      </c>
      <c r="K4" s="52">
        <f t="shared" si="0"/>
        <v>9</v>
      </c>
      <c r="L4" s="52">
        <f t="shared" si="0"/>
        <v>10</v>
      </c>
      <c r="M4" s="52">
        <f t="shared" si="0"/>
        <v>11</v>
      </c>
      <c r="N4" s="52">
        <f t="shared" si="0"/>
        <v>12</v>
      </c>
      <c r="O4" s="52">
        <f t="shared" si="0"/>
        <v>13</v>
      </c>
      <c r="P4" s="52">
        <f t="shared" si="0"/>
        <v>14</v>
      </c>
      <c r="Q4" s="52">
        <f t="shared" si="0"/>
        <v>15</v>
      </c>
      <c r="R4" s="52">
        <f t="shared" si="0"/>
        <v>16</v>
      </c>
      <c r="S4" s="52">
        <f t="shared" si="0"/>
        <v>17</v>
      </c>
      <c r="T4" s="52">
        <f t="shared" si="0"/>
        <v>18</v>
      </c>
      <c r="U4" s="52">
        <f t="shared" si="0"/>
        <v>19</v>
      </c>
      <c r="V4" s="52">
        <f t="shared" si="0"/>
        <v>20</v>
      </c>
      <c r="W4" s="52">
        <f t="shared" si="0"/>
        <v>21</v>
      </c>
      <c r="X4" s="52">
        <f t="shared" si="0"/>
        <v>22</v>
      </c>
      <c r="Y4" s="52">
        <f t="shared" si="0"/>
        <v>23</v>
      </c>
      <c r="Z4" s="52">
        <f t="shared" si="0"/>
        <v>24</v>
      </c>
      <c r="AA4" s="52">
        <f t="shared" si="0"/>
        <v>25</v>
      </c>
      <c r="AB4" s="52">
        <f t="shared" si="0"/>
        <v>26</v>
      </c>
      <c r="AC4" s="52">
        <f t="shared" si="0"/>
        <v>27</v>
      </c>
      <c r="AD4" s="52">
        <f t="shared" si="0"/>
        <v>28</v>
      </c>
      <c r="AE4" s="52">
        <f t="shared" si="0"/>
        <v>29</v>
      </c>
      <c r="AF4" s="52">
        <f t="shared" si="0"/>
        <v>30</v>
      </c>
      <c r="AG4" s="52">
        <f t="shared" si="0"/>
        <v>31</v>
      </c>
      <c r="AI4" s="205"/>
      <c r="AJ4" s="205"/>
      <c r="AK4" s="205"/>
    </row>
    <row r="5" spans="2:37">
      <c r="B5" s="203"/>
      <c r="C5" s="122" t="str">
        <f t="shared" ref="C5:AG5" si="1">TEXT(C4,"aaa")</f>
        <v>일</v>
      </c>
      <c r="D5" s="53" t="str">
        <f t="shared" si="1"/>
        <v>월</v>
      </c>
      <c r="E5" s="53" t="str">
        <f t="shared" si="1"/>
        <v>화</v>
      </c>
      <c r="F5" s="53" t="str">
        <f t="shared" si="1"/>
        <v>수</v>
      </c>
      <c r="G5" s="53" t="str">
        <f t="shared" si="1"/>
        <v>목</v>
      </c>
      <c r="H5" s="123" t="str">
        <f t="shared" si="1"/>
        <v>금</v>
      </c>
      <c r="I5" s="122" t="str">
        <f t="shared" si="1"/>
        <v>토</v>
      </c>
      <c r="J5" s="61" t="str">
        <f t="shared" si="1"/>
        <v>일</v>
      </c>
      <c r="K5" s="53" t="str">
        <f t="shared" si="1"/>
        <v>월</v>
      </c>
      <c r="L5" s="53" t="str">
        <f t="shared" si="1"/>
        <v>화</v>
      </c>
      <c r="M5" s="53" t="str">
        <f t="shared" si="1"/>
        <v>수</v>
      </c>
      <c r="N5" s="53" t="str">
        <f t="shared" si="1"/>
        <v>목</v>
      </c>
      <c r="O5" s="123" t="str">
        <f t="shared" si="1"/>
        <v>금</v>
      </c>
      <c r="P5" s="122" t="str">
        <f t="shared" si="1"/>
        <v>토</v>
      </c>
      <c r="Q5" s="61" t="str">
        <f t="shared" si="1"/>
        <v>일</v>
      </c>
      <c r="R5" s="53" t="str">
        <f t="shared" si="1"/>
        <v>월</v>
      </c>
      <c r="S5" s="53" t="str">
        <f t="shared" si="1"/>
        <v>화</v>
      </c>
      <c r="T5" s="53" t="str">
        <f t="shared" si="1"/>
        <v>수</v>
      </c>
      <c r="U5" s="53" t="str">
        <f t="shared" si="1"/>
        <v>목</v>
      </c>
      <c r="V5" s="123" t="str">
        <f t="shared" si="1"/>
        <v>금</v>
      </c>
      <c r="W5" s="122" t="str">
        <f t="shared" si="1"/>
        <v>토</v>
      </c>
      <c r="X5" s="53" t="str">
        <f t="shared" si="1"/>
        <v>일</v>
      </c>
      <c r="Y5" s="53" t="str">
        <f t="shared" si="1"/>
        <v>월</v>
      </c>
      <c r="Z5" s="53" t="str">
        <f t="shared" si="1"/>
        <v>화</v>
      </c>
      <c r="AA5" s="53" t="str">
        <f t="shared" si="1"/>
        <v>수</v>
      </c>
      <c r="AB5" s="53" t="str">
        <f t="shared" si="1"/>
        <v>목</v>
      </c>
      <c r="AC5" s="123" t="str">
        <f t="shared" si="1"/>
        <v>금</v>
      </c>
      <c r="AD5" s="122" t="str">
        <f t="shared" si="1"/>
        <v>토</v>
      </c>
      <c r="AE5" s="61" t="str">
        <f t="shared" si="1"/>
        <v>일</v>
      </c>
      <c r="AF5" s="53" t="str">
        <f t="shared" si="1"/>
        <v>월</v>
      </c>
      <c r="AG5" s="53" t="str">
        <f t="shared" si="1"/>
        <v>화</v>
      </c>
      <c r="AI5" s="206"/>
      <c r="AJ5" s="206"/>
      <c r="AK5" s="206"/>
    </row>
    <row r="6" spans="2:37" ht="19.5" customHeight="1">
      <c r="B6" s="204"/>
      <c r="C6" s="56" t="s">
        <v>105</v>
      </c>
      <c r="D6" s="126"/>
      <c r="E6" s="126"/>
      <c r="F6" s="55" t="s">
        <v>84</v>
      </c>
      <c r="G6" s="56" t="s">
        <v>85</v>
      </c>
      <c r="I6" s="126"/>
      <c r="J6" s="126"/>
      <c r="K6" s="126"/>
      <c r="L6" s="126"/>
      <c r="M6" s="55" t="s">
        <v>84</v>
      </c>
      <c r="N6" s="56" t="s">
        <v>85</v>
      </c>
      <c r="P6" s="126"/>
      <c r="Q6" s="126"/>
      <c r="R6" s="126"/>
      <c r="S6" s="126"/>
      <c r="T6" s="55" t="s">
        <v>84</v>
      </c>
      <c r="U6" s="56" t="s">
        <v>85</v>
      </c>
      <c r="Y6" s="126"/>
      <c r="Z6" s="126"/>
      <c r="AA6" s="55" t="s">
        <v>84</v>
      </c>
      <c r="AB6" s="56" t="s">
        <v>85</v>
      </c>
      <c r="AC6" s="127" t="s">
        <v>111</v>
      </c>
      <c r="AD6" s="56" t="s">
        <v>106</v>
      </c>
      <c r="AE6" s="56" t="s">
        <v>107</v>
      </c>
      <c r="AF6" s="56" t="s">
        <v>106</v>
      </c>
      <c r="AG6" s="126"/>
      <c r="AI6" s="130">
        <f>COUNTIF(C6:AG6,"토")+COUNTIF(C6:AG6,"일")</f>
        <v>8</v>
      </c>
      <c r="AJ6" s="130">
        <f>COUNTA(C6:AG6)-AI6</f>
        <v>5</v>
      </c>
      <c r="AK6" s="130">
        <f>AI6+AJ6</f>
        <v>13</v>
      </c>
    </row>
    <row r="7" spans="2:37">
      <c r="B7" s="196">
        <f>EOMONTH(B4,0)+1</f>
        <v>32</v>
      </c>
      <c r="C7" s="57">
        <f>B7</f>
        <v>32</v>
      </c>
      <c r="D7" s="57">
        <f>C7+1</f>
        <v>33</v>
      </c>
      <c r="E7" s="57">
        <f t="shared" ref="E7:AE7" si="2">D7+1</f>
        <v>34</v>
      </c>
      <c r="F7" s="57">
        <f t="shared" si="2"/>
        <v>35</v>
      </c>
      <c r="G7" s="57">
        <f t="shared" si="2"/>
        <v>36</v>
      </c>
      <c r="H7" s="57">
        <f t="shared" si="2"/>
        <v>37</v>
      </c>
      <c r="I7" s="57">
        <f t="shared" si="2"/>
        <v>38</v>
      </c>
      <c r="J7" s="57">
        <f t="shared" si="2"/>
        <v>39</v>
      </c>
      <c r="K7" s="57">
        <f t="shared" si="2"/>
        <v>40</v>
      </c>
      <c r="L7" s="57">
        <f t="shared" si="2"/>
        <v>41</v>
      </c>
      <c r="M7" s="57">
        <f t="shared" si="2"/>
        <v>42</v>
      </c>
      <c r="N7" s="57">
        <f t="shared" si="2"/>
        <v>43</v>
      </c>
      <c r="O7" s="57">
        <f t="shared" si="2"/>
        <v>44</v>
      </c>
      <c r="P7" s="57">
        <f t="shared" si="2"/>
        <v>45</v>
      </c>
      <c r="Q7" s="57">
        <f t="shared" si="2"/>
        <v>46</v>
      </c>
      <c r="R7" s="57">
        <f t="shared" si="2"/>
        <v>47</v>
      </c>
      <c r="S7" s="57">
        <f t="shared" si="2"/>
        <v>48</v>
      </c>
      <c r="T7" s="57">
        <f t="shared" si="2"/>
        <v>49</v>
      </c>
      <c r="U7" s="57">
        <f t="shared" si="2"/>
        <v>50</v>
      </c>
      <c r="V7" s="57">
        <f t="shared" si="2"/>
        <v>51</v>
      </c>
      <c r="W7" s="57">
        <f t="shared" si="2"/>
        <v>52</v>
      </c>
      <c r="X7" s="57">
        <f t="shared" si="2"/>
        <v>53</v>
      </c>
      <c r="Y7" s="57">
        <f t="shared" si="2"/>
        <v>54</v>
      </c>
      <c r="Z7" s="57">
        <f t="shared" si="2"/>
        <v>55</v>
      </c>
      <c r="AA7" s="57">
        <f t="shared" si="2"/>
        <v>56</v>
      </c>
      <c r="AB7" s="57">
        <f t="shared" si="2"/>
        <v>57</v>
      </c>
      <c r="AC7" s="57">
        <f t="shared" si="2"/>
        <v>58</v>
      </c>
      <c r="AD7" s="57">
        <f t="shared" si="2"/>
        <v>59</v>
      </c>
      <c r="AE7" s="57">
        <f t="shared" si="2"/>
        <v>60</v>
      </c>
      <c r="AF7" s="57"/>
      <c r="AG7" s="57"/>
      <c r="AI7" s="199"/>
      <c r="AJ7" s="199"/>
      <c r="AK7" s="199"/>
    </row>
    <row r="8" spans="2:37">
      <c r="B8" s="197"/>
      <c r="C8" s="58" t="str">
        <f t="shared" ref="C8:AE8" si="3">TEXT(C7,"aaa")</f>
        <v>수</v>
      </c>
      <c r="D8" s="58" t="str">
        <f t="shared" si="3"/>
        <v>목</v>
      </c>
      <c r="E8" s="124" t="str">
        <f t="shared" si="3"/>
        <v>금</v>
      </c>
      <c r="F8" s="125" t="str">
        <f t="shared" si="3"/>
        <v>토</v>
      </c>
      <c r="G8" s="59" t="str">
        <f t="shared" si="3"/>
        <v>일</v>
      </c>
      <c r="H8" s="58" t="str">
        <f t="shared" si="3"/>
        <v>월</v>
      </c>
      <c r="I8" s="58" t="str">
        <f t="shared" si="3"/>
        <v>화</v>
      </c>
      <c r="J8" s="58" t="str">
        <f t="shared" si="3"/>
        <v>수</v>
      </c>
      <c r="K8" s="125" t="str">
        <f t="shared" si="3"/>
        <v>목</v>
      </c>
      <c r="L8" s="125" t="str">
        <f t="shared" si="3"/>
        <v>금</v>
      </c>
      <c r="M8" s="125" t="str">
        <f t="shared" si="3"/>
        <v>토</v>
      </c>
      <c r="N8" s="125" t="str">
        <f t="shared" si="3"/>
        <v>일</v>
      </c>
      <c r="O8" s="58" t="str">
        <f t="shared" si="3"/>
        <v>월</v>
      </c>
      <c r="P8" s="58" t="str">
        <f t="shared" si="3"/>
        <v>화</v>
      </c>
      <c r="Q8" s="58" t="str">
        <f t="shared" si="3"/>
        <v>수</v>
      </c>
      <c r="R8" s="58" t="str">
        <f t="shared" si="3"/>
        <v>목</v>
      </c>
      <c r="S8" s="124" t="str">
        <f t="shared" si="3"/>
        <v>금</v>
      </c>
      <c r="T8" s="125" t="str">
        <f t="shared" si="3"/>
        <v>토</v>
      </c>
      <c r="U8" s="59" t="str">
        <f t="shared" si="3"/>
        <v>일</v>
      </c>
      <c r="V8" s="58" t="str">
        <f t="shared" si="3"/>
        <v>월</v>
      </c>
      <c r="W8" s="58" t="str">
        <f t="shared" si="3"/>
        <v>화</v>
      </c>
      <c r="X8" s="58" t="str">
        <f t="shared" si="3"/>
        <v>수</v>
      </c>
      <c r="Y8" s="58" t="str">
        <f t="shared" si="3"/>
        <v>목</v>
      </c>
      <c r="Z8" s="124" t="str">
        <f t="shared" si="3"/>
        <v>금</v>
      </c>
      <c r="AA8" s="125" t="str">
        <f t="shared" si="3"/>
        <v>토</v>
      </c>
      <c r="AB8" s="59" t="str">
        <f t="shared" si="3"/>
        <v>일</v>
      </c>
      <c r="AC8" s="58" t="str">
        <f t="shared" si="3"/>
        <v>월</v>
      </c>
      <c r="AD8" s="58" t="str">
        <f t="shared" si="3"/>
        <v>화</v>
      </c>
      <c r="AE8" s="58" t="str">
        <f t="shared" si="3"/>
        <v>수</v>
      </c>
      <c r="AF8" s="58"/>
      <c r="AG8" s="59"/>
      <c r="AI8" s="200"/>
      <c r="AJ8" s="200"/>
      <c r="AK8" s="200"/>
    </row>
    <row r="9" spans="2:37" ht="19.5" customHeight="1">
      <c r="B9" s="198"/>
      <c r="C9" s="55" t="s">
        <v>84</v>
      </c>
      <c r="D9" s="56" t="s">
        <v>85</v>
      </c>
      <c r="F9" s="126"/>
      <c r="G9" s="126"/>
      <c r="H9" s="126"/>
      <c r="I9" s="126"/>
      <c r="J9" s="55" t="s">
        <v>84</v>
      </c>
      <c r="K9" s="56" t="s">
        <v>85</v>
      </c>
      <c r="L9" s="126"/>
      <c r="M9" s="126"/>
      <c r="N9" s="126"/>
      <c r="O9" s="126"/>
      <c r="P9" s="126"/>
      <c r="Q9" s="55" t="s">
        <v>84</v>
      </c>
      <c r="R9" s="56" t="s">
        <v>85</v>
      </c>
      <c r="T9" s="126"/>
      <c r="U9" s="126"/>
      <c r="V9" s="126"/>
      <c r="W9" s="126"/>
      <c r="X9" s="55" t="s">
        <v>84</v>
      </c>
      <c r="Y9" s="56" t="s">
        <v>85</v>
      </c>
      <c r="AC9" s="126"/>
      <c r="AD9" s="126"/>
      <c r="AE9" s="126"/>
      <c r="AF9" s="128"/>
      <c r="AG9" s="126"/>
      <c r="AI9" s="130">
        <f>COUNTIF(C9:AG9,"토")+COUNTIF(C9:AG9,"일")</f>
        <v>8</v>
      </c>
      <c r="AJ9" s="130">
        <f>COUNTA(C9:AG9)-AI9</f>
        <v>0</v>
      </c>
      <c r="AK9" s="130">
        <f>AI9+AJ9</f>
        <v>8</v>
      </c>
    </row>
    <row r="10" spans="2:37">
      <c r="B10" s="202">
        <f>DATE(B1,3,1)</f>
        <v>61</v>
      </c>
      <c r="C10" s="52">
        <f>B10</f>
        <v>61</v>
      </c>
      <c r="D10" s="52">
        <f>C10+1</f>
        <v>62</v>
      </c>
      <c r="E10" s="52">
        <f t="shared" ref="E10:AG10" si="4">D10+1</f>
        <v>63</v>
      </c>
      <c r="F10" s="52">
        <f t="shared" si="4"/>
        <v>64</v>
      </c>
      <c r="G10" s="52">
        <f t="shared" si="4"/>
        <v>65</v>
      </c>
      <c r="H10" s="52">
        <f t="shared" si="4"/>
        <v>66</v>
      </c>
      <c r="I10" s="52">
        <f t="shared" si="4"/>
        <v>67</v>
      </c>
      <c r="J10" s="52">
        <f t="shared" si="4"/>
        <v>68</v>
      </c>
      <c r="K10" s="52">
        <f t="shared" si="4"/>
        <v>69</v>
      </c>
      <c r="L10" s="52">
        <f t="shared" si="4"/>
        <v>70</v>
      </c>
      <c r="M10" s="52">
        <f t="shared" si="4"/>
        <v>71</v>
      </c>
      <c r="N10" s="52">
        <f t="shared" si="4"/>
        <v>72</v>
      </c>
      <c r="O10" s="52">
        <f t="shared" si="4"/>
        <v>73</v>
      </c>
      <c r="P10" s="52">
        <f t="shared" si="4"/>
        <v>74</v>
      </c>
      <c r="Q10" s="52">
        <f t="shared" si="4"/>
        <v>75</v>
      </c>
      <c r="R10" s="52">
        <f t="shared" si="4"/>
        <v>76</v>
      </c>
      <c r="S10" s="52">
        <f t="shared" si="4"/>
        <v>77</v>
      </c>
      <c r="T10" s="52">
        <f t="shared" si="4"/>
        <v>78</v>
      </c>
      <c r="U10" s="52">
        <f t="shared" si="4"/>
        <v>79</v>
      </c>
      <c r="V10" s="52">
        <f t="shared" si="4"/>
        <v>80</v>
      </c>
      <c r="W10" s="52">
        <f t="shared" si="4"/>
        <v>81</v>
      </c>
      <c r="X10" s="52">
        <f t="shared" si="4"/>
        <v>82</v>
      </c>
      <c r="Y10" s="52">
        <f t="shared" si="4"/>
        <v>83</v>
      </c>
      <c r="Z10" s="52">
        <f t="shared" si="4"/>
        <v>84</v>
      </c>
      <c r="AA10" s="52">
        <f t="shared" si="4"/>
        <v>85</v>
      </c>
      <c r="AB10" s="52">
        <f t="shared" si="4"/>
        <v>86</v>
      </c>
      <c r="AC10" s="52">
        <f t="shared" si="4"/>
        <v>87</v>
      </c>
      <c r="AD10" s="52">
        <f t="shared" si="4"/>
        <v>88</v>
      </c>
      <c r="AE10" s="52">
        <f t="shared" si="4"/>
        <v>89</v>
      </c>
      <c r="AF10" s="52">
        <f t="shared" si="4"/>
        <v>90</v>
      </c>
      <c r="AG10" s="52">
        <f t="shared" si="4"/>
        <v>91</v>
      </c>
      <c r="AI10" s="205"/>
      <c r="AJ10" s="205"/>
      <c r="AK10" s="205"/>
    </row>
    <row r="11" spans="2:37">
      <c r="B11" s="203"/>
      <c r="C11" s="53" t="str">
        <f t="shared" ref="C11:AG11" si="5">TEXT(C10,"aaa")</f>
        <v>목</v>
      </c>
      <c r="D11" s="53" t="str">
        <f t="shared" si="5"/>
        <v>금</v>
      </c>
      <c r="E11" s="53" t="str">
        <f t="shared" si="5"/>
        <v>토</v>
      </c>
      <c r="F11" s="53" t="str">
        <f t="shared" si="5"/>
        <v>일</v>
      </c>
      <c r="G11" s="53" t="str">
        <f t="shared" si="5"/>
        <v>월</v>
      </c>
      <c r="H11" s="53" t="str">
        <f t="shared" si="5"/>
        <v>화</v>
      </c>
      <c r="I11" s="53" t="str">
        <f t="shared" si="5"/>
        <v>수</v>
      </c>
      <c r="J11" s="53" t="str">
        <f t="shared" si="5"/>
        <v>목</v>
      </c>
      <c r="K11" s="53" t="str">
        <f t="shared" si="5"/>
        <v>금</v>
      </c>
      <c r="L11" s="53" t="str">
        <f t="shared" si="5"/>
        <v>토</v>
      </c>
      <c r="M11" s="53" t="str">
        <f t="shared" si="5"/>
        <v>일</v>
      </c>
      <c r="N11" s="53" t="str">
        <f t="shared" si="5"/>
        <v>월</v>
      </c>
      <c r="O11" s="53" t="str">
        <f t="shared" si="5"/>
        <v>화</v>
      </c>
      <c r="P11" s="53" t="str">
        <f t="shared" si="5"/>
        <v>수</v>
      </c>
      <c r="Q11" s="53" t="str">
        <f t="shared" si="5"/>
        <v>목</v>
      </c>
      <c r="R11" s="53" t="str">
        <f t="shared" si="5"/>
        <v>금</v>
      </c>
      <c r="S11" s="53" t="str">
        <f t="shared" si="5"/>
        <v>토</v>
      </c>
      <c r="T11" s="53" t="str">
        <f t="shared" si="5"/>
        <v>일</v>
      </c>
      <c r="U11" s="53" t="str">
        <f t="shared" si="5"/>
        <v>월</v>
      </c>
      <c r="V11" s="53" t="str">
        <f t="shared" si="5"/>
        <v>화</v>
      </c>
      <c r="W11" s="53" t="str">
        <f t="shared" si="5"/>
        <v>수</v>
      </c>
      <c r="X11" s="53" t="str">
        <f t="shared" si="5"/>
        <v>목</v>
      </c>
      <c r="Y11" s="53" t="str">
        <f t="shared" si="5"/>
        <v>금</v>
      </c>
      <c r="Z11" s="53" t="str">
        <f t="shared" si="5"/>
        <v>토</v>
      </c>
      <c r="AA11" s="53" t="str">
        <f t="shared" si="5"/>
        <v>일</v>
      </c>
      <c r="AB11" s="53" t="str">
        <f t="shared" si="5"/>
        <v>월</v>
      </c>
      <c r="AC11" s="53" t="str">
        <f t="shared" si="5"/>
        <v>화</v>
      </c>
      <c r="AD11" s="53" t="str">
        <f t="shared" si="5"/>
        <v>수</v>
      </c>
      <c r="AE11" s="53" t="str">
        <f t="shared" si="5"/>
        <v>목</v>
      </c>
      <c r="AF11" s="53" t="str">
        <f t="shared" si="5"/>
        <v>금</v>
      </c>
      <c r="AG11" s="53" t="str">
        <f t="shared" si="5"/>
        <v>토</v>
      </c>
      <c r="AI11" s="206"/>
      <c r="AJ11" s="206"/>
      <c r="AK11" s="206"/>
    </row>
    <row r="12" spans="2:37" ht="19.5" customHeight="1">
      <c r="B12" s="204"/>
      <c r="C12" s="54" t="s">
        <v>86</v>
      </c>
      <c r="D12" s="56" t="s">
        <v>85</v>
      </c>
      <c r="E12" s="56" t="s">
        <v>108</v>
      </c>
      <c r="H12" s="126"/>
      <c r="I12" s="126"/>
      <c r="J12" s="55" t="s">
        <v>84</v>
      </c>
      <c r="K12" s="56" t="s">
        <v>85</v>
      </c>
      <c r="N12" s="126"/>
      <c r="O12" s="126"/>
      <c r="Q12" s="55" t="s">
        <v>84</v>
      </c>
      <c r="R12" s="56" t="s">
        <v>85</v>
      </c>
      <c r="U12" s="126"/>
      <c r="V12" s="126"/>
      <c r="W12" s="126"/>
      <c r="X12" s="55" t="s">
        <v>84</v>
      </c>
      <c r="Y12" s="56" t="s">
        <v>85</v>
      </c>
      <c r="AB12" s="126"/>
      <c r="AC12" s="126"/>
      <c r="AD12" s="126"/>
      <c r="AE12" s="55" t="s">
        <v>84</v>
      </c>
      <c r="AF12" s="56" t="s">
        <v>85</v>
      </c>
      <c r="AI12" s="130">
        <f>COUNTIF(C12:AG12,"토")+COUNTIF(C12:AG12,"일")</f>
        <v>9</v>
      </c>
      <c r="AJ12" s="130">
        <f>COUNTA(C12:AG12)-AI12</f>
        <v>2</v>
      </c>
      <c r="AK12" s="130">
        <f>AI12+AJ12</f>
        <v>11</v>
      </c>
    </row>
    <row r="13" spans="2:37">
      <c r="B13" s="196">
        <f>EOMONTH(B10,0)+1</f>
        <v>92</v>
      </c>
      <c r="C13" s="57">
        <f>B13</f>
        <v>92</v>
      </c>
      <c r="D13" s="57">
        <f>C13+1</f>
        <v>93</v>
      </c>
      <c r="E13" s="57">
        <f t="shared" ref="E13:AF13" si="6">D13+1</f>
        <v>94</v>
      </c>
      <c r="F13" s="57">
        <f t="shared" si="6"/>
        <v>95</v>
      </c>
      <c r="G13" s="57">
        <f t="shared" si="6"/>
        <v>96</v>
      </c>
      <c r="H13" s="57">
        <f t="shared" si="6"/>
        <v>97</v>
      </c>
      <c r="I13" s="57">
        <f t="shared" si="6"/>
        <v>98</v>
      </c>
      <c r="J13" s="57">
        <f t="shared" si="6"/>
        <v>99</v>
      </c>
      <c r="K13" s="57">
        <f t="shared" si="6"/>
        <v>100</v>
      </c>
      <c r="L13" s="57">
        <f t="shared" si="6"/>
        <v>101</v>
      </c>
      <c r="M13" s="57">
        <f t="shared" si="6"/>
        <v>102</v>
      </c>
      <c r="N13" s="57">
        <f t="shared" si="6"/>
        <v>103</v>
      </c>
      <c r="O13" s="57">
        <f t="shared" si="6"/>
        <v>104</v>
      </c>
      <c r="P13" s="57">
        <f t="shared" si="6"/>
        <v>105</v>
      </c>
      <c r="Q13" s="57">
        <f t="shared" si="6"/>
        <v>106</v>
      </c>
      <c r="R13" s="57">
        <f t="shared" si="6"/>
        <v>107</v>
      </c>
      <c r="S13" s="57">
        <f t="shared" si="6"/>
        <v>108</v>
      </c>
      <c r="T13" s="57">
        <f t="shared" si="6"/>
        <v>109</v>
      </c>
      <c r="U13" s="57">
        <f t="shared" si="6"/>
        <v>110</v>
      </c>
      <c r="V13" s="57">
        <f t="shared" si="6"/>
        <v>111</v>
      </c>
      <c r="W13" s="57">
        <f t="shared" si="6"/>
        <v>112</v>
      </c>
      <c r="X13" s="57">
        <f t="shared" si="6"/>
        <v>113</v>
      </c>
      <c r="Y13" s="57">
        <f t="shared" si="6"/>
        <v>114</v>
      </c>
      <c r="Z13" s="57">
        <f t="shared" si="6"/>
        <v>115</v>
      </c>
      <c r="AA13" s="57">
        <f t="shared" si="6"/>
        <v>116</v>
      </c>
      <c r="AB13" s="57">
        <f t="shared" si="6"/>
        <v>117</v>
      </c>
      <c r="AC13" s="57">
        <f t="shared" si="6"/>
        <v>118</v>
      </c>
      <c r="AD13" s="57">
        <f t="shared" si="6"/>
        <v>119</v>
      </c>
      <c r="AE13" s="57">
        <f t="shared" si="6"/>
        <v>120</v>
      </c>
      <c r="AF13" s="57">
        <f t="shared" si="6"/>
        <v>121</v>
      </c>
      <c r="AG13" s="57"/>
      <c r="AI13" s="199"/>
      <c r="AJ13" s="199"/>
      <c r="AK13" s="199"/>
    </row>
    <row r="14" spans="2:37">
      <c r="B14" s="197"/>
      <c r="C14" s="58" t="str">
        <f t="shared" ref="C14:AF14" si="7">TEXT(C13,"aaa")</f>
        <v>일</v>
      </c>
      <c r="D14" s="58" t="str">
        <f t="shared" si="7"/>
        <v>월</v>
      </c>
      <c r="E14" s="58" t="str">
        <f t="shared" si="7"/>
        <v>화</v>
      </c>
      <c r="F14" s="58" t="str">
        <f t="shared" si="7"/>
        <v>수</v>
      </c>
      <c r="G14" s="58" t="str">
        <f t="shared" si="7"/>
        <v>목</v>
      </c>
      <c r="H14" s="58" t="str">
        <f t="shared" si="7"/>
        <v>금</v>
      </c>
      <c r="I14" s="58" t="str">
        <f t="shared" si="7"/>
        <v>토</v>
      </c>
      <c r="J14" s="58" t="str">
        <f t="shared" si="7"/>
        <v>일</v>
      </c>
      <c r="K14" s="58" t="str">
        <f t="shared" si="7"/>
        <v>월</v>
      </c>
      <c r="L14" s="58" t="str">
        <f t="shared" si="7"/>
        <v>화</v>
      </c>
      <c r="M14" s="58" t="str">
        <f t="shared" si="7"/>
        <v>수</v>
      </c>
      <c r="N14" s="58" t="str">
        <f t="shared" si="7"/>
        <v>목</v>
      </c>
      <c r="O14" s="58" t="str">
        <f t="shared" si="7"/>
        <v>금</v>
      </c>
      <c r="P14" s="58" t="str">
        <f t="shared" si="7"/>
        <v>토</v>
      </c>
      <c r="Q14" s="58" t="str">
        <f t="shared" si="7"/>
        <v>일</v>
      </c>
      <c r="R14" s="58" t="str">
        <f t="shared" si="7"/>
        <v>월</v>
      </c>
      <c r="S14" s="58" t="str">
        <f t="shared" si="7"/>
        <v>화</v>
      </c>
      <c r="T14" s="58" t="str">
        <f t="shared" si="7"/>
        <v>수</v>
      </c>
      <c r="U14" s="58" t="str">
        <f t="shared" si="7"/>
        <v>목</v>
      </c>
      <c r="V14" s="58" t="str">
        <f t="shared" si="7"/>
        <v>금</v>
      </c>
      <c r="W14" s="58" t="str">
        <f t="shared" si="7"/>
        <v>토</v>
      </c>
      <c r="X14" s="58" t="str">
        <f t="shared" si="7"/>
        <v>일</v>
      </c>
      <c r="Y14" s="58" t="str">
        <f t="shared" si="7"/>
        <v>월</v>
      </c>
      <c r="Z14" s="58" t="str">
        <f t="shared" si="7"/>
        <v>화</v>
      </c>
      <c r="AA14" s="58" t="str">
        <f t="shared" si="7"/>
        <v>수</v>
      </c>
      <c r="AB14" s="58" t="str">
        <f t="shared" si="7"/>
        <v>목</v>
      </c>
      <c r="AC14" s="58" t="str">
        <f t="shared" si="7"/>
        <v>금</v>
      </c>
      <c r="AD14" s="58" t="str">
        <f t="shared" si="7"/>
        <v>토</v>
      </c>
      <c r="AE14" s="58" t="str">
        <f t="shared" si="7"/>
        <v>일</v>
      </c>
      <c r="AF14" s="58" t="str">
        <f t="shared" si="7"/>
        <v>월</v>
      </c>
      <c r="AG14" s="59"/>
      <c r="AI14" s="200"/>
      <c r="AJ14" s="200"/>
      <c r="AK14" s="200"/>
    </row>
    <row r="15" spans="2:37" ht="19.5" customHeight="1">
      <c r="B15" s="198"/>
      <c r="C15" s="126"/>
      <c r="D15" s="126"/>
      <c r="G15" s="55" t="s">
        <v>84</v>
      </c>
      <c r="H15" s="56" t="s">
        <v>85</v>
      </c>
      <c r="M15" s="126"/>
      <c r="N15" s="55" t="s">
        <v>84</v>
      </c>
      <c r="O15" s="56" t="s">
        <v>85</v>
      </c>
      <c r="R15" s="126"/>
      <c r="T15" s="126"/>
      <c r="U15" s="55" t="s">
        <v>84</v>
      </c>
      <c r="V15" s="56" t="s">
        <v>85</v>
      </c>
      <c r="Y15" s="126"/>
      <c r="AA15" s="126"/>
      <c r="AB15" s="55" t="s">
        <v>84</v>
      </c>
      <c r="AC15" s="56" t="s">
        <v>85</v>
      </c>
      <c r="AG15" s="126"/>
      <c r="AI15" s="130">
        <f>COUNTIF(C15:AG15,"토")+COUNTIF(C15:AG15,"일")</f>
        <v>8</v>
      </c>
      <c r="AJ15" s="130">
        <f>COUNTA(C15:AG15)-AI15</f>
        <v>0</v>
      </c>
      <c r="AK15" s="130">
        <f>AI15+AJ15</f>
        <v>8</v>
      </c>
    </row>
    <row r="16" spans="2:37">
      <c r="B16" s="202">
        <f>EOMONTH(B13,0)+1</f>
        <v>122</v>
      </c>
      <c r="C16" s="52">
        <f>B16</f>
        <v>122</v>
      </c>
      <c r="D16" s="52">
        <f>C16+1</f>
        <v>123</v>
      </c>
      <c r="E16" s="52">
        <f t="shared" ref="E16:AG16" si="8">D16+1</f>
        <v>124</v>
      </c>
      <c r="F16" s="52">
        <f t="shared" si="8"/>
        <v>125</v>
      </c>
      <c r="G16" s="52">
        <f t="shared" si="8"/>
        <v>126</v>
      </c>
      <c r="H16" s="52">
        <f t="shared" si="8"/>
        <v>127</v>
      </c>
      <c r="I16" s="52">
        <f t="shared" si="8"/>
        <v>128</v>
      </c>
      <c r="J16" s="52">
        <f t="shared" si="8"/>
        <v>129</v>
      </c>
      <c r="K16" s="52">
        <f t="shared" si="8"/>
        <v>130</v>
      </c>
      <c r="L16" s="52">
        <f t="shared" si="8"/>
        <v>131</v>
      </c>
      <c r="M16" s="52">
        <f t="shared" si="8"/>
        <v>132</v>
      </c>
      <c r="N16" s="52">
        <f t="shared" si="8"/>
        <v>133</v>
      </c>
      <c r="O16" s="52">
        <f t="shared" si="8"/>
        <v>134</v>
      </c>
      <c r="P16" s="52">
        <f t="shared" si="8"/>
        <v>135</v>
      </c>
      <c r="Q16" s="52">
        <f t="shared" si="8"/>
        <v>136</v>
      </c>
      <c r="R16" s="52">
        <f t="shared" si="8"/>
        <v>137</v>
      </c>
      <c r="S16" s="52">
        <f t="shared" si="8"/>
        <v>138</v>
      </c>
      <c r="T16" s="52">
        <f t="shared" si="8"/>
        <v>139</v>
      </c>
      <c r="U16" s="52">
        <f t="shared" si="8"/>
        <v>140</v>
      </c>
      <c r="V16" s="52">
        <f t="shared" si="8"/>
        <v>141</v>
      </c>
      <c r="W16" s="52">
        <f t="shared" si="8"/>
        <v>142</v>
      </c>
      <c r="X16" s="52">
        <f t="shared" si="8"/>
        <v>143</v>
      </c>
      <c r="Y16" s="52">
        <f t="shared" si="8"/>
        <v>144</v>
      </c>
      <c r="Z16" s="52">
        <f t="shared" si="8"/>
        <v>145</v>
      </c>
      <c r="AA16" s="52">
        <f t="shared" si="8"/>
        <v>146</v>
      </c>
      <c r="AB16" s="52">
        <f t="shared" si="8"/>
        <v>147</v>
      </c>
      <c r="AC16" s="52">
        <f t="shared" si="8"/>
        <v>148</v>
      </c>
      <c r="AD16" s="52">
        <f t="shared" si="8"/>
        <v>149</v>
      </c>
      <c r="AE16" s="52">
        <f t="shared" si="8"/>
        <v>150</v>
      </c>
      <c r="AF16" s="52">
        <f t="shared" si="8"/>
        <v>151</v>
      </c>
      <c r="AG16" s="52">
        <f t="shared" si="8"/>
        <v>152</v>
      </c>
      <c r="AI16" s="207"/>
      <c r="AJ16" s="207"/>
      <c r="AK16" s="207"/>
    </row>
    <row r="17" spans="2:37">
      <c r="B17" s="203"/>
      <c r="C17" s="53" t="str">
        <f t="shared" ref="C17:AG17" si="9">TEXT(C16,"aaa")</f>
        <v>화</v>
      </c>
      <c r="D17" s="53" t="str">
        <f t="shared" si="9"/>
        <v>수</v>
      </c>
      <c r="E17" s="61" t="str">
        <f t="shared" si="9"/>
        <v>목</v>
      </c>
      <c r="F17" s="61" t="str">
        <f t="shared" si="9"/>
        <v>금</v>
      </c>
      <c r="G17" s="61" t="str">
        <f t="shared" si="9"/>
        <v>토</v>
      </c>
      <c r="H17" s="61" t="str">
        <f t="shared" si="9"/>
        <v>일</v>
      </c>
      <c r="I17" s="61" t="str">
        <f t="shared" si="9"/>
        <v>월</v>
      </c>
      <c r="J17" s="53" t="str">
        <f t="shared" si="9"/>
        <v>화</v>
      </c>
      <c r="K17" s="53" t="str">
        <f t="shared" si="9"/>
        <v>수</v>
      </c>
      <c r="L17" s="53" t="str">
        <f t="shared" si="9"/>
        <v>목</v>
      </c>
      <c r="M17" s="61" t="str">
        <f t="shared" si="9"/>
        <v>금</v>
      </c>
      <c r="N17" s="61" t="str">
        <f t="shared" si="9"/>
        <v>토</v>
      </c>
      <c r="O17" s="61" t="str">
        <f t="shared" si="9"/>
        <v>일</v>
      </c>
      <c r="P17" s="61" t="str">
        <f t="shared" si="9"/>
        <v>월</v>
      </c>
      <c r="Q17" s="53" t="str">
        <f t="shared" si="9"/>
        <v>화</v>
      </c>
      <c r="R17" s="53" t="str">
        <f t="shared" si="9"/>
        <v>수</v>
      </c>
      <c r="S17" s="61" t="str">
        <f t="shared" si="9"/>
        <v>목</v>
      </c>
      <c r="T17" s="61" t="str">
        <f t="shared" si="9"/>
        <v>금</v>
      </c>
      <c r="U17" s="61" t="str">
        <f t="shared" si="9"/>
        <v>토</v>
      </c>
      <c r="V17" s="61" t="str">
        <f t="shared" si="9"/>
        <v>일</v>
      </c>
      <c r="W17" s="61" t="str">
        <f t="shared" si="9"/>
        <v>월</v>
      </c>
      <c r="X17" s="53" t="str">
        <f t="shared" si="9"/>
        <v>화</v>
      </c>
      <c r="Y17" s="53" t="str">
        <f t="shared" si="9"/>
        <v>수</v>
      </c>
      <c r="Z17" s="61" t="str">
        <f t="shared" si="9"/>
        <v>목</v>
      </c>
      <c r="AA17" s="61" t="str">
        <f t="shared" si="9"/>
        <v>금</v>
      </c>
      <c r="AB17" s="61" t="str">
        <f t="shared" si="9"/>
        <v>토</v>
      </c>
      <c r="AC17" s="61" t="str">
        <f t="shared" si="9"/>
        <v>일</v>
      </c>
      <c r="AD17" s="61" t="str">
        <f t="shared" si="9"/>
        <v>월</v>
      </c>
      <c r="AE17" s="53" t="str">
        <f t="shared" si="9"/>
        <v>화</v>
      </c>
      <c r="AF17" s="53" t="str">
        <f t="shared" si="9"/>
        <v>수</v>
      </c>
      <c r="AG17" s="61" t="str">
        <f t="shared" si="9"/>
        <v>목</v>
      </c>
      <c r="AI17" s="206"/>
      <c r="AJ17" s="206"/>
      <c r="AK17" s="206"/>
    </row>
    <row r="18" spans="2:37" ht="19.5" customHeight="1">
      <c r="B18" s="204"/>
      <c r="C18" s="54" t="s">
        <v>87</v>
      </c>
      <c r="D18" s="128"/>
      <c r="E18" s="55" t="s">
        <v>84</v>
      </c>
      <c r="F18" s="56" t="s">
        <v>85</v>
      </c>
      <c r="G18" s="56" t="s">
        <v>88</v>
      </c>
      <c r="H18" s="56" t="s">
        <v>108</v>
      </c>
      <c r="J18" s="126"/>
      <c r="K18" s="126"/>
      <c r="L18" s="55" t="s">
        <v>84</v>
      </c>
      <c r="M18" s="56" t="s">
        <v>85</v>
      </c>
      <c r="Q18" s="126"/>
      <c r="R18" s="126"/>
      <c r="S18" s="55" t="s">
        <v>84</v>
      </c>
      <c r="T18" s="56" t="s">
        <v>85</v>
      </c>
      <c r="W18" s="126"/>
      <c r="X18" s="126"/>
      <c r="Y18" s="126"/>
      <c r="Z18" s="55" t="s">
        <v>84</v>
      </c>
      <c r="AA18" s="56" t="s">
        <v>85</v>
      </c>
      <c r="AE18" s="126"/>
      <c r="AG18" s="55" t="s">
        <v>84</v>
      </c>
      <c r="AI18" s="130">
        <f>COUNTIF(C18:AG18,"토")+COUNTIF(C18:AG18,"일")</f>
        <v>9</v>
      </c>
      <c r="AJ18" s="130">
        <f>COUNTA(C18:AG18)-AI18</f>
        <v>3</v>
      </c>
      <c r="AK18" s="130">
        <f>AI18+AJ18</f>
        <v>12</v>
      </c>
    </row>
    <row r="19" spans="2:37">
      <c r="B19" s="196">
        <f>EOMONTH(B16,0)+1</f>
        <v>153</v>
      </c>
      <c r="C19" s="57">
        <f>B19</f>
        <v>153</v>
      </c>
      <c r="D19" s="57">
        <f>C19+1</f>
        <v>154</v>
      </c>
      <c r="E19" s="57">
        <f t="shared" ref="E19:AF19" si="10">D19+1</f>
        <v>155</v>
      </c>
      <c r="F19" s="57">
        <f t="shared" si="10"/>
        <v>156</v>
      </c>
      <c r="G19" s="57">
        <f t="shared" si="10"/>
        <v>157</v>
      </c>
      <c r="H19" s="57">
        <f t="shared" si="10"/>
        <v>158</v>
      </c>
      <c r="I19" s="57">
        <f t="shared" si="10"/>
        <v>159</v>
      </c>
      <c r="J19" s="57">
        <f t="shared" si="10"/>
        <v>160</v>
      </c>
      <c r="K19" s="57">
        <f t="shared" si="10"/>
        <v>161</v>
      </c>
      <c r="L19" s="57">
        <f t="shared" si="10"/>
        <v>162</v>
      </c>
      <c r="M19" s="57">
        <f t="shared" si="10"/>
        <v>163</v>
      </c>
      <c r="N19" s="57">
        <f t="shared" si="10"/>
        <v>164</v>
      </c>
      <c r="O19" s="57">
        <f t="shared" si="10"/>
        <v>165</v>
      </c>
      <c r="P19" s="57">
        <f t="shared" si="10"/>
        <v>166</v>
      </c>
      <c r="Q19" s="57">
        <f t="shared" si="10"/>
        <v>167</v>
      </c>
      <c r="R19" s="57">
        <f t="shared" si="10"/>
        <v>168</v>
      </c>
      <c r="S19" s="57">
        <f t="shared" si="10"/>
        <v>169</v>
      </c>
      <c r="T19" s="57">
        <f t="shared" si="10"/>
        <v>170</v>
      </c>
      <c r="U19" s="57">
        <f t="shared" si="10"/>
        <v>171</v>
      </c>
      <c r="V19" s="57">
        <f t="shared" si="10"/>
        <v>172</v>
      </c>
      <c r="W19" s="57">
        <f t="shared" si="10"/>
        <v>173</v>
      </c>
      <c r="X19" s="57">
        <f t="shared" si="10"/>
        <v>174</v>
      </c>
      <c r="Y19" s="57">
        <f t="shared" si="10"/>
        <v>175</v>
      </c>
      <c r="Z19" s="57">
        <f t="shared" si="10"/>
        <v>176</v>
      </c>
      <c r="AA19" s="57">
        <f t="shared" si="10"/>
        <v>177</v>
      </c>
      <c r="AB19" s="57">
        <f t="shared" si="10"/>
        <v>178</v>
      </c>
      <c r="AC19" s="57">
        <f t="shared" si="10"/>
        <v>179</v>
      </c>
      <c r="AD19" s="57">
        <f t="shared" si="10"/>
        <v>180</v>
      </c>
      <c r="AE19" s="57">
        <f t="shared" si="10"/>
        <v>181</v>
      </c>
      <c r="AF19" s="57">
        <f t="shared" si="10"/>
        <v>182</v>
      </c>
      <c r="AG19" s="57"/>
      <c r="AI19" s="199"/>
      <c r="AJ19" s="199"/>
      <c r="AK19" s="199"/>
    </row>
    <row r="20" spans="2:37">
      <c r="B20" s="197"/>
      <c r="C20" s="59" t="str">
        <f t="shared" ref="C20:AF20" si="11">TEXT(C19,"aaa")</f>
        <v>금</v>
      </c>
      <c r="D20" s="59" t="str">
        <f t="shared" si="11"/>
        <v>토</v>
      </c>
      <c r="E20" s="59" t="str">
        <f t="shared" si="11"/>
        <v>일</v>
      </c>
      <c r="F20" s="59" t="str">
        <f t="shared" si="11"/>
        <v>월</v>
      </c>
      <c r="G20" s="58" t="str">
        <f t="shared" si="11"/>
        <v>화</v>
      </c>
      <c r="H20" s="58" t="str">
        <f t="shared" si="11"/>
        <v>수</v>
      </c>
      <c r="I20" s="59" t="str">
        <f t="shared" si="11"/>
        <v>목</v>
      </c>
      <c r="J20" s="59" t="str">
        <f t="shared" si="11"/>
        <v>금</v>
      </c>
      <c r="K20" s="59" t="str">
        <f t="shared" si="11"/>
        <v>토</v>
      </c>
      <c r="L20" s="59" t="str">
        <f t="shared" si="11"/>
        <v>일</v>
      </c>
      <c r="M20" s="59" t="str">
        <f t="shared" si="11"/>
        <v>월</v>
      </c>
      <c r="N20" s="58" t="str">
        <f t="shared" si="11"/>
        <v>화</v>
      </c>
      <c r="O20" s="58" t="str">
        <f t="shared" si="11"/>
        <v>수</v>
      </c>
      <c r="P20" s="59" t="str">
        <f t="shared" si="11"/>
        <v>목</v>
      </c>
      <c r="Q20" s="59" t="str">
        <f t="shared" si="11"/>
        <v>금</v>
      </c>
      <c r="R20" s="59" t="str">
        <f t="shared" si="11"/>
        <v>토</v>
      </c>
      <c r="S20" s="59" t="str">
        <f t="shared" si="11"/>
        <v>일</v>
      </c>
      <c r="T20" s="59" t="str">
        <f t="shared" si="11"/>
        <v>월</v>
      </c>
      <c r="U20" s="58" t="str">
        <f t="shared" si="11"/>
        <v>화</v>
      </c>
      <c r="V20" s="58" t="str">
        <f t="shared" si="11"/>
        <v>수</v>
      </c>
      <c r="W20" s="59" t="str">
        <f t="shared" si="11"/>
        <v>목</v>
      </c>
      <c r="X20" s="59" t="str">
        <f t="shared" si="11"/>
        <v>금</v>
      </c>
      <c r="Y20" s="59" t="str">
        <f t="shared" si="11"/>
        <v>토</v>
      </c>
      <c r="Z20" s="59" t="str">
        <f t="shared" si="11"/>
        <v>일</v>
      </c>
      <c r="AA20" s="59" t="str">
        <f t="shared" si="11"/>
        <v>월</v>
      </c>
      <c r="AB20" s="58" t="str">
        <f t="shared" si="11"/>
        <v>화</v>
      </c>
      <c r="AC20" s="58" t="str">
        <f t="shared" si="11"/>
        <v>수</v>
      </c>
      <c r="AD20" s="59" t="str">
        <f t="shared" si="11"/>
        <v>목</v>
      </c>
      <c r="AE20" s="59" t="str">
        <f t="shared" si="11"/>
        <v>금</v>
      </c>
      <c r="AF20" s="59" t="str">
        <f t="shared" si="11"/>
        <v>토</v>
      </c>
      <c r="AG20" s="59"/>
      <c r="AI20" s="200"/>
      <c r="AJ20" s="200"/>
      <c r="AK20" s="200"/>
    </row>
    <row r="21" spans="2:37" ht="19.5" customHeight="1">
      <c r="B21" s="198"/>
      <c r="C21" s="56" t="s">
        <v>85</v>
      </c>
      <c r="E21" s="127" t="s">
        <v>112</v>
      </c>
      <c r="G21" s="126"/>
      <c r="H21" s="54" t="s">
        <v>89</v>
      </c>
      <c r="I21" s="55" t="s">
        <v>84</v>
      </c>
      <c r="J21" s="56" t="s">
        <v>85</v>
      </c>
      <c r="M21" s="126"/>
      <c r="N21" s="126"/>
      <c r="O21" s="126"/>
      <c r="P21" s="55" t="s">
        <v>84</v>
      </c>
      <c r="Q21" s="56" t="s">
        <v>85</v>
      </c>
      <c r="T21" s="126"/>
      <c r="U21" s="126"/>
      <c r="V21" s="126"/>
      <c r="W21" s="55" t="s">
        <v>84</v>
      </c>
      <c r="X21" s="56" t="s">
        <v>85</v>
      </c>
      <c r="AA21" s="126"/>
      <c r="AB21" s="126"/>
      <c r="AC21" s="126"/>
      <c r="AD21" s="55" t="s">
        <v>84</v>
      </c>
      <c r="AE21" s="56" t="s">
        <v>85</v>
      </c>
      <c r="AI21" s="130">
        <f>COUNTIF(C21:AG21,"토")+COUNTIF(C21:AG21,"일")</f>
        <v>9</v>
      </c>
      <c r="AJ21" s="130">
        <f>COUNTA(C21:AG21)-AI21</f>
        <v>2</v>
      </c>
      <c r="AK21" s="130">
        <f>AI21+AJ21</f>
        <v>11</v>
      </c>
    </row>
    <row r="22" spans="2:37">
      <c r="B22" s="202">
        <f>EOMONTH(B19,0)+1</f>
        <v>183</v>
      </c>
      <c r="C22" s="52">
        <f>B22</f>
        <v>183</v>
      </c>
      <c r="D22" s="52">
        <f>C22+1</f>
        <v>184</v>
      </c>
      <c r="E22" s="52">
        <f t="shared" ref="E22:AG22" si="12">D22+1</f>
        <v>185</v>
      </c>
      <c r="F22" s="52">
        <f t="shared" si="12"/>
        <v>186</v>
      </c>
      <c r="G22" s="52">
        <f t="shared" si="12"/>
        <v>187</v>
      </c>
      <c r="H22" s="52">
        <f t="shared" si="12"/>
        <v>188</v>
      </c>
      <c r="I22" s="52">
        <f t="shared" si="12"/>
        <v>189</v>
      </c>
      <c r="J22" s="52">
        <f t="shared" si="12"/>
        <v>190</v>
      </c>
      <c r="K22" s="52">
        <f t="shared" si="12"/>
        <v>191</v>
      </c>
      <c r="L22" s="52">
        <f t="shared" si="12"/>
        <v>192</v>
      </c>
      <c r="M22" s="52">
        <f t="shared" si="12"/>
        <v>193</v>
      </c>
      <c r="N22" s="52">
        <f t="shared" si="12"/>
        <v>194</v>
      </c>
      <c r="O22" s="52">
        <f t="shared" si="12"/>
        <v>195</v>
      </c>
      <c r="P22" s="52">
        <f t="shared" si="12"/>
        <v>196</v>
      </c>
      <c r="Q22" s="52">
        <f t="shared" si="12"/>
        <v>197</v>
      </c>
      <c r="R22" s="52">
        <f t="shared" si="12"/>
        <v>198</v>
      </c>
      <c r="S22" s="52">
        <f t="shared" si="12"/>
        <v>199</v>
      </c>
      <c r="T22" s="52">
        <f t="shared" si="12"/>
        <v>200</v>
      </c>
      <c r="U22" s="52">
        <f t="shared" si="12"/>
        <v>201</v>
      </c>
      <c r="V22" s="52">
        <f t="shared" si="12"/>
        <v>202</v>
      </c>
      <c r="W22" s="52">
        <f t="shared" si="12"/>
        <v>203</v>
      </c>
      <c r="X22" s="52">
        <f t="shared" si="12"/>
        <v>204</v>
      </c>
      <c r="Y22" s="52">
        <f t="shared" si="12"/>
        <v>205</v>
      </c>
      <c r="Z22" s="52">
        <f t="shared" si="12"/>
        <v>206</v>
      </c>
      <c r="AA22" s="52">
        <f t="shared" si="12"/>
        <v>207</v>
      </c>
      <c r="AB22" s="52">
        <f t="shared" si="12"/>
        <v>208</v>
      </c>
      <c r="AC22" s="52">
        <f t="shared" si="12"/>
        <v>209</v>
      </c>
      <c r="AD22" s="52">
        <f t="shared" si="12"/>
        <v>210</v>
      </c>
      <c r="AE22" s="52">
        <f t="shared" si="12"/>
        <v>211</v>
      </c>
      <c r="AF22" s="52">
        <f t="shared" si="12"/>
        <v>212</v>
      </c>
      <c r="AG22" s="52">
        <f t="shared" si="12"/>
        <v>213</v>
      </c>
      <c r="AI22" s="207"/>
      <c r="AJ22" s="207"/>
      <c r="AK22" s="207"/>
    </row>
    <row r="23" spans="2:37">
      <c r="B23" s="203"/>
      <c r="C23" s="61" t="str">
        <f t="shared" ref="C23:AG23" si="13">TEXT(C22,"aaa")</f>
        <v>일</v>
      </c>
      <c r="D23" s="61" t="str">
        <f t="shared" si="13"/>
        <v>월</v>
      </c>
      <c r="E23" s="53" t="str">
        <f t="shared" si="13"/>
        <v>화</v>
      </c>
      <c r="F23" s="53" t="str">
        <f t="shared" si="13"/>
        <v>수</v>
      </c>
      <c r="G23" s="53" t="str">
        <f t="shared" si="13"/>
        <v>목</v>
      </c>
      <c r="H23" s="53" t="str">
        <f t="shared" si="13"/>
        <v>금</v>
      </c>
      <c r="I23" s="53" t="str">
        <f t="shared" si="13"/>
        <v>토</v>
      </c>
      <c r="J23" s="53" t="str">
        <f t="shared" si="13"/>
        <v>일</v>
      </c>
      <c r="K23" s="53" t="str">
        <f t="shared" si="13"/>
        <v>월</v>
      </c>
      <c r="L23" s="53" t="str">
        <f t="shared" si="13"/>
        <v>화</v>
      </c>
      <c r="M23" s="53" t="str">
        <f t="shared" si="13"/>
        <v>수</v>
      </c>
      <c r="N23" s="53" t="str">
        <f t="shared" si="13"/>
        <v>목</v>
      </c>
      <c r="O23" s="53" t="str">
        <f t="shared" si="13"/>
        <v>금</v>
      </c>
      <c r="P23" s="53" t="str">
        <f t="shared" si="13"/>
        <v>토</v>
      </c>
      <c r="Q23" s="53" t="str">
        <f t="shared" si="13"/>
        <v>일</v>
      </c>
      <c r="R23" s="53" t="str">
        <f t="shared" si="13"/>
        <v>월</v>
      </c>
      <c r="S23" s="53" t="str">
        <f t="shared" si="13"/>
        <v>화</v>
      </c>
      <c r="T23" s="53" t="str">
        <f t="shared" si="13"/>
        <v>수</v>
      </c>
      <c r="U23" s="53" t="str">
        <f t="shared" si="13"/>
        <v>목</v>
      </c>
      <c r="V23" s="53" t="str">
        <f t="shared" si="13"/>
        <v>금</v>
      </c>
      <c r="W23" s="53" t="str">
        <f t="shared" si="13"/>
        <v>토</v>
      </c>
      <c r="X23" s="53" t="str">
        <f t="shared" si="13"/>
        <v>일</v>
      </c>
      <c r="Y23" s="53" t="str">
        <f t="shared" si="13"/>
        <v>월</v>
      </c>
      <c r="Z23" s="53" t="str">
        <f t="shared" si="13"/>
        <v>화</v>
      </c>
      <c r="AA23" s="53" t="str">
        <f t="shared" si="13"/>
        <v>수</v>
      </c>
      <c r="AB23" s="53" t="str">
        <f t="shared" si="13"/>
        <v>목</v>
      </c>
      <c r="AC23" s="53" t="str">
        <f t="shared" si="13"/>
        <v>금</v>
      </c>
      <c r="AD23" s="53" t="str">
        <f t="shared" si="13"/>
        <v>토</v>
      </c>
      <c r="AE23" s="53" t="str">
        <f t="shared" si="13"/>
        <v>일</v>
      </c>
      <c r="AF23" s="53" t="str">
        <f t="shared" si="13"/>
        <v>월</v>
      </c>
      <c r="AG23" s="53" t="str">
        <f t="shared" si="13"/>
        <v>화</v>
      </c>
      <c r="AI23" s="206"/>
      <c r="AJ23" s="206"/>
      <c r="AK23" s="206"/>
    </row>
    <row r="24" spans="2:37" ht="19.5" customHeight="1">
      <c r="B24" s="204"/>
      <c r="C24" s="126"/>
      <c r="D24" s="126"/>
      <c r="G24" s="55" t="s">
        <v>84</v>
      </c>
      <c r="H24" s="56" t="s">
        <v>85</v>
      </c>
      <c r="K24" s="126"/>
      <c r="L24" s="126"/>
      <c r="M24" s="126"/>
      <c r="N24" s="55" t="s">
        <v>84</v>
      </c>
      <c r="O24" s="56" t="s">
        <v>85</v>
      </c>
      <c r="U24" s="55" t="s">
        <v>84</v>
      </c>
      <c r="V24" s="56" t="s">
        <v>85</v>
      </c>
      <c r="AB24" s="55" t="s">
        <v>84</v>
      </c>
      <c r="AC24" s="56" t="s">
        <v>85</v>
      </c>
      <c r="AI24" s="130">
        <f>COUNTIF(C24:AG24,"토")+COUNTIF(C24:AG24,"일")</f>
        <v>8</v>
      </c>
      <c r="AJ24" s="130">
        <f>COUNTA(C24:AG24)-AI24</f>
        <v>0</v>
      </c>
      <c r="AK24" s="130">
        <f>AI24+AJ24</f>
        <v>8</v>
      </c>
    </row>
    <row r="25" spans="2:37">
      <c r="B25" s="196">
        <f>EOMONTH(B22,0)+1</f>
        <v>214</v>
      </c>
      <c r="C25" s="57">
        <f>B25</f>
        <v>214</v>
      </c>
      <c r="D25" s="57">
        <f>C25+1</f>
        <v>215</v>
      </c>
      <c r="E25" s="57">
        <f t="shared" ref="E25:AG25" si="14">D25+1</f>
        <v>216</v>
      </c>
      <c r="F25" s="57">
        <f t="shared" si="14"/>
        <v>217</v>
      </c>
      <c r="G25" s="57">
        <f t="shared" si="14"/>
        <v>218</v>
      </c>
      <c r="H25" s="57">
        <f t="shared" si="14"/>
        <v>219</v>
      </c>
      <c r="I25" s="57">
        <f t="shared" si="14"/>
        <v>220</v>
      </c>
      <c r="J25" s="57">
        <f t="shared" si="14"/>
        <v>221</v>
      </c>
      <c r="K25" s="57">
        <f t="shared" si="14"/>
        <v>222</v>
      </c>
      <c r="L25" s="57">
        <f t="shared" si="14"/>
        <v>223</v>
      </c>
      <c r="M25" s="57">
        <f t="shared" si="14"/>
        <v>224</v>
      </c>
      <c r="N25" s="57">
        <f t="shared" si="14"/>
        <v>225</v>
      </c>
      <c r="O25" s="57">
        <f t="shared" si="14"/>
        <v>226</v>
      </c>
      <c r="P25" s="57">
        <f t="shared" si="14"/>
        <v>227</v>
      </c>
      <c r="Q25" s="57">
        <f t="shared" si="14"/>
        <v>228</v>
      </c>
      <c r="R25" s="57">
        <f t="shared" si="14"/>
        <v>229</v>
      </c>
      <c r="S25" s="57">
        <f t="shared" si="14"/>
        <v>230</v>
      </c>
      <c r="T25" s="57">
        <f t="shared" si="14"/>
        <v>231</v>
      </c>
      <c r="U25" s="57">
        <f t="shared" si="14"/>
        <v>232</v>
      </c>
      <c r="V25" s="57">
        <f t="shared" si="14"/>
        <v>233</v>
      </c>
      <c r="W25" s="57">
        <f t="shared" si="14"/>
        <v>234</v>
      </c>
      <c r="X25" s="57">
        <f t="shared" si="14"/>
        <v>235</v>
      </c>
      <c r="Y25" s="57">
        <f t="shared" si="14"/>
        <v>236</v>
      </c>
      <c r="Z25" s="57">
        <f t="shared" si="14"/>
        <v>237</v>
      </c>
      <c r="AA25" s="57">
        <f t="shared" si="14"/>
        <v>238</v>
      </c>
      <c r="AB25" s="57">
        <f t="shared" si="14"/>
        <v>239</v>
      </c>
      <c r="AC25" s="57">
        <f t="shared" si="14"/>
        <v>240</v>
      </c>
      <c r="AD25" s="57">
        <f t="shared" si="14"/>
        <v>241</v>
      </c>
      <c r="AE25" s="57">
        <f t="shared" si="14"/>
        <v>242</v>
      </c>
      <c r="AF25" s="57">
        <f t="shared" si="14"/>
        <v>243</v>
      </c>
      <c r="AG25" s="57">
        <f t="shared" si="14"/>
        <v>244</v>
      </c>
      <c r="AI25" s="199"/>
      <c r="AJ25" s="199"/>
      <c r="AK25" s="199"/>
    </row>
    <row r="26" spans="2:37">
      <c r="B26" s="197"/>
      <c r="C26" s="58" t="str">
        <f t="shared" ref="C26:AG26" si="15">TEXT(C25,"aaa")</f>
        <v>수</v>
      </c>
      <c r="D26" s="59" t="str">
        <f t="shared" si="15"/>
        <v>목</v>
      </c>
      <c r="E26" s="59" t="str">
        <f t="shared" si="15"/>
        <v>금</v>
      </c>
      <c r="F26" s="59" t="str">
        <f t="shared" si="15"/>
        <v>토</v>
      </c>
      <c r="G26" s="59" t="str">
        <f t="shared" si="15"/>
        <v>일</v>
      </c>
      <c r="H26" s="59" t="str">
        <f t="shared" si="15"/>
        <v>월</v>
      </c>
      <c r="I26" s="58" t="str">
        <f t="shared" si="15"/>
        <v>화</v>
      </c>
      <c r="J26" s="58" t="str">
        <f t="shared" si="15"/>
        <v>수</v>
      </c>
      <c r="K26" s="59" t="str">
        <f t="shared" si="15"/>
        <v>목</v>
      </c>
      <c r="L26" s="59" t="str">
        <f t="shared" si="15"/>
        <v>금</v>
      </c>
      <c r="M26" s="59" t="str">
        <f t="shared" si="15"/>
        <v>토</v>
      </c>
      <c r="N26" s="59" t="str">
        <f t="shared" si="15"/>
        <v>일</v>
      </c>
      <c r="O26" s="59" t="str">
        <f t="shared" si="15"/>
        <v>월</v>
      </c>
      <c r="P26" s="58" t="str">
        <f t="shared" si="15"/>
        <v>화</v>
      </c>
      <c r="Q26" s="58" t="str">
        <f t="shared" si="15"/>
        <v>수</v>
      </c>
      <c r="R26" s="59" t="str">
        <f t="shared" si="15"/>
        <v>목</v>
      </c>
      <c r="S26" s="59" t="str">
        <f t="shared" si="15"/>
        <v>금</v>
      </c>
      <c r="T26" s="59" t="str">
        <f t="shared" si="15"/>
        <v>토</v>
      </c>
      <c r="U26" s="59" t="str">
        <f t="shared" si="15"/>
        <v>일</v>
      </c>
      <c r="V26" s="59" t="str">
        <f t="shared" si="15"/>
        <v>월</v>
      </c>
      <c r="W26" s="58" t="str">
        <f t="shared" si="15"/>
        <v>화</v>
      </c>
      <c r="X26" s="58" t="str">
        <f t="shared" si="15"/>
        <v>수</v>
      </c>
      <c r="Y26" s="59" t="str">
        <f t="shared" si="15"/>
        <v>목</v>
      </c>
      <c r="Z26" s="59" t="str">
        <f t="shared" si="15"/>
        <v>금</v>
      </c>
      <c r="AA26" s="59" t="str">
        <f t="shared" si="15"/>
        <v>토</v>
      </c>
      <c r="AB26" s="59" t="str">
        <f t="shared" si="15"/>
        <v>일</v>
      </c>
      <c r="AC26" s="59" t="str">
        <f t="shared" si="15"/>
        <v>월</v>
      </c>
      <c r="AD26" s="58" t="str">
        <f t="shared" si="15"/>
        <v>화</v>
      </c>
      <c r="AE26" s="58" t="str">
        <f t="shared" si="15"/>
        <v>수</v>
      </c>
      <c r="AF26" s="59" t="str">
        <f t="shared" si="15"/>
        <v>목</v>
      </c>
      <c r="AG26" s="59" t="str">
        <f t="shared" si="15"/>
        <v>금</v>
      </c>
      <c r="AI26" s="200"/>
      <c r="AJ26" s="200"/>
      <c r="AK26" s="200"/>
    </row>
    <row r="27" spans="2:37" ht="19.5" customHeight="1">
      <c r="B27" s="198"/>
      <c r="C27" s="126"/>
      <c r="D27" s="55" t="s">
        <v>84</v>
      </c>
      <c r="E27" s="56" t="s">
        <v>85</v>
      </c>
      <c r="K27" s="55" t="s">
        <v>84</v>
      </c>
      <c r="L27" s="56" t="s">
        <v>85</v>
      </c>
      <c r="Q27" s="54" t="s">
        <v>90</v>
      </c>
      <c r="R27" s="55" t="s">
        <v>84</v>
      </c>
      <c r="S27" s="56" t="s">
        <v>85</v>
      </c>
      <c r="Y27" s="55" t="s">
        <v>84</v>
      </c>
      <c r="Z27" s="56" t="s">
        <v>85</v>
      </c>
      <c r="AF27" s="55" t="s">
        <v>84</v>
      </c>
      <c r="AG27" s="56" t="s">
        <v>85</v>
      </c>
      <c r="AI27" s="130">
        <f>COUNTIF(C27:AG27,"토")+COUNTIF(C27:AG27,"일")</f>
        <v>10</v>
      </c>
      <c r="AJ27" s="130">
        <f>COUNTA(C27:AG27)-AI27</f>
        <v>1</v>
      </c>
      <c r="AK27" s="130">
        <f>AI27+AJ27</f>
        <v>11</v>
      </c>
    </row>
    <row r="28" spans="2:37">
      <c r="B28" s="202">
        <f>EOMONTH(B25,0)+1</f>
        <v>245</v>
      </c>
      <c r="C28" s="52">
        <f>B28</f>
        <v>245</v>
      </c>
      <c r="D28" s="52">
        <f>C28+1</f>
        <v>246</v>
      </c>
      <c r="E28" s="52">
        <f t="shared" ref="E28:AF28" si="16">D28+1</f>
        <v>247</v>
      </c>
      <c r="F28" s="52">
        <f t="shared" si="16"/>
        <v>248</v>
      </c>
      <c r="G28" s="52">
        <f t="shared" si="16"/>
        <v>249</v>
      </c>
      <c r="H28" s="52">
        <f t="shared" si="16"/>
        <v>250</v>
      </c>
      <c r="I28" s="52">
        <f t="shared" si="16"/>
        <v>251</v>
      </c>
      <c r="J28" s="52">
        <f t="shared" si="16"/>
        <v>252</v>
      </c>
      <c r="K28" s="52">
        <f t="shared" si="16"/>
        <v>253</v>
      </c>
      <c r="L28" s="52">
        <f t="shared" si="16"/>
        <v>254</v>
      </c>
      <c r="M28" s="52">
        <f t="shared" si="16"/>
        <v>255</v>
      </c>
      <c r="N28" s="52">
        <f t="shared" si="16"/>
        <v>256</v>
      </c>
      <c r="O28" s="52">
        <f t="shared" si="16"/>
        <v>257</v>
      </c>
      <c r="P28" s="52">
        <f t="shared" si="16"/>
        <v>258</v>
      </c>
      <c r="Q28" s="52">
        <f t="shared" si="16"/>
        <v>259</v>
      </c>
      <c r="R28" s="52">
        <f t="shared" si="16"/>
        <v>260</v>
      </c>
      <c r="S28" s="52">
        <f t="shared" si="16"/>
        <v>261</v>
      </c>
      <c r="T28" s="52">
        <f t="shared" si="16"/>
        <v>262</v>
      </c>
      <c r="U28" s="52">
        <f t="shared" si="16"/>
        <v>263</v>
      </c>
      <c r="V28" s="52">
        <f t="shared" si="16"/>
        <v>264</v>
      </c>
      <c r="W28" s="52">
        <f t="shared" si="16"/>
        <v>265</v>
      </c>
      <c r="X28" s="52">
        <f t="shared" si="16"/>
        <v>266</v>
      </c>
      <c r="Y28" s="52">
        <f t="shared" si="16"/>
        <v>267</v>
      </c>
      <c r="Z28" s="52">
        <f t="shared" si="16"/>
        <v>268</v>
      </c>
      <c r="AA28" s="52">
        <f t="shared" si="16"/>
        <v>269</v>
      </c>
      <c r="AB28" s="52">
        <f t="shared" si="16"/>
        <v>270</v>
      </c>
      <c r="AC28" s="52">
        <f t="shared" si="16"/>
        <v>271</v>
      </c>
      <c r="AD28" s="52">
        <f t="shared" si="16"/>
        <v>272</v>
      </c>
      <c r="AE28" s="52">
        <f t="shared" si="16"/>
        <v>273</v>
      </c>
      <c r="AF28" s="52">
        <f t="shared" si="16"/>
        <v>274</v>
      </c>
      <c r="AG28" s="52"/>
      <c r="AI28" s="207"/>
      <c r="AJ28" s="207"/>
      <c r="AK28" s="207"/>
    </row>
    <row r="29" spans="2:37">
      <c r="B29" s="203"/>
      <c r="C29" s="61" t="str">
        <f t="shared" ref="C29:AF29" si="17">TEXT(C28,"aaa")</f>
        <v>토</v>
      </c>
      <c r="D29" s="61" t="str">
        <f t="shared" si="17"/>
        <v>일</v>
      </c>
      <c r="E29" s="61" t="str">
        <f t="shared" si="17"/>
        <v>월</v>
      </c>
      <c r="F29" s="53" t="str">
        <f t="shared" si="17"/>
        <v>화</v>
      </c>
      <c r="G29" s="53" t="str">
        <f t="shared" si="17"/>
        <v>수</v>
      </c>
      <c r="H29" s="61" t="str">
        <f t="shared" si="17"/>
        <v>목</v>
      </c>
      <c r="I29" s="61" t="str">
        <f t="shared" si="17"/>
        <v>금</v>
      </c>
      <c r="J29" s="61" t="str">
        <f t="shared" si="17"/>
        <v>토</v>
      </c>
      <c r="K29" s="61" t="str">
        <f t="shared" si="17"/>
        <v>일</v>
      </c>
      <c r="L29" s="61" t="str">
        <f t="shared" si="17"/>
        <v>월</v>
      </c>
      <c r="M29" s="53" t="str">
        <f t="shared" si="17"/>
        <v>화</v>
      </c>
      <c r="N29" s="53" t="str">
        <f t="shared" si="17"/>
        <v>수</v>
      </c>
      <c r="O29" s="61" t="str">
        <f t="shared" si="17"/>
        <v>목</v>
      </c>
      <c r="P29" s="61" t="str">
        <f t="shared" si="17"/>
        <v>금</v>
      </c>
      <c r="Q29" s="61" t="str">
        <f t="shared" si="17"/>
        <v>토</v>
      </c>
      <c r="R29" s="61" t="str">
        <f t="shared" si="17"/>
        <v>일</v>
      </c>
      <c r="S29" s="61" t="str">
        <f t="shared" si="17"/>
        <v>월</v>
      </c>
      <c r="T29" s="53" t="str">
        <f t="shared" si="17"/>
        <v>화</v>
      </c>
      <c r="U29" s="53" t="str">
        <f t="shared" si="17"/>
        <v>수</v>
      </c>
      <c r="V29" s="61" t="str">
        <f t="shared" si="17"/>
        <v>목</v>
      </c>
      <c r="W29" s="61" t="str">
        <f t="shared" si="17"/>
        <v>금</v>
      </c>
      <c r="X29" s="61" t="str">
        <f t="shared" si="17"/>
        <v>토</v>
      </c>
      <c r="Y29" s="61" t="str">
        <f t="shared" si="17"/>
        <v>일</v>
      </c>
      <c r="Z29" s="61" t="str">
        <f t="shared" si="17"/>
        <v>월</v>
      </c>
      <c r="AA29" s="53" t="str">
        <f t="shared" si="17"/>
        <v>화</v>
      </c>
      <c r="AB29" s="53" t="str">
        <f t="shared" si="17"/>
        <v>수</v>
      </c>
      <c r="AC29" s="61" t="str">
        <f t="shared" si="17"/>
        <v>목</v>
      </c>
      <c r="AD29" s="61" t="str">
        <f t="shared" si="17"/>
        <v>금</v>
      </c>
      <c r="AE29" s="61" t="str">
        <f t="shared" si="17"/>
        <v>토</v>
      </c>
      <c r="AF29" s="61" t="str">
        <f t="shared" si="17"/>
        <v>일</v>
      </c>
      <c r="AG29" s="61"/>
      <c r="AI29" s="206"/>
      <c r="AJ29" s="206"/>
      <c r="AK29" s="206"/>
    </row>
    <row r="30" spans="2:37" ht="19.5" customHeight="1">
      <c r="B30" s="204"/>
      <c r="H30" s="55" t="s">
        <v>84</v>
      </c>
      <c r="I30" s="56" t="s">
        <v>85</v>
      </c>
      <c r="O30" s="55" t="s">
        <v>84</v>
      </c>
      <c r="P30" s="56" t="s">
        <v>85</v>
      </c>
      <c r="V30" s="129" t="s">
        <v>84</v>
      </c>
      <c r="W30" s="54" t="s">
        <v>85</v>
      </c>
      <c r="AC30" s="129" t="s">
        <v>84</v>
      </c>
      <c r="AD30" s="54" t="s">
        <v>85</v>
      </c>
      <c r="AG30" s="126"/>
      <c r="AI30" s="130">
        <f>COUNTIF(C30:AG30,"토")+COUNTIF(C30:AG30,"일")</f>
        <v>8</v>
      </c>
      <c r="AJ30" s="130">
        <f>COUNTA(C30:AG30)-AI30</f>
        <v>0</v>
      </c>
      <c r="AK30" s="130">
        <f>AI30+AJ30</f>
        <v>8</v>
      </c>
    </row>
    <row r="31" spans="2:37">
      <c r="B31" s="196">
        <f>EOMONTH(B28,0)+1</f>
        <v>275</v>
      </c>
      <c r="C31" s="57">
        <f>B31</f>
        <v>275</v>
      </c>
      <c r="D31" s="57">
        <f>C31+1</f>
        <v>276</v>
      </c>
      <c r="E31" s="57">
        <f t="shared" ref="E31:AG31" si="18">D31+1</f>
        <v>277</v>
      </c>
      <c r="F31" s="57">
        <f t="shared" si="18"/>
        <v>278</v>
      </c>
      <c r="G31" s="57">
        <f t="shared" si="18"/>
        <v>279</v>
      </c>
      <c r="H31" s="57">
        <f t="shared" si="18"/>
        <v>280</v>
      </c>
      <c r="I31" s="57">
        <f t="shared" si="18"/>
        <v>281</v>
      </c>
      <c r="J31" s="57">
        <f t="shared" si="18"/>
        <v>282</v>
      </c>
      <c r="K31" s="57">
        <f t="shared" si="18"/>
        <v>283</v>
      </c>
      <c r="L31" s="57">
        <f t="shared" si="18"/>
        <v>284</v>
      </c>
      <c r="M31" s="57">
        <f t="shared" si="18"/>
        <v>285</v>
      </c>
      <c r="N31" s="57">
        <f t="shared" si="18"/>
        <v>286</v>
      </c>
      <c r="O31" s="57">
        <f t="shared" si="18"/>
        <v>287</v>
      </c>
      <c r="P31" s="57">
        <f t="shared" si="18"/>
        <v>288</v>
      </c>
      <c r="Q31" s="57">
        <f t="shared" si="18"/>
        <v>289</v>
      </c>
      <c r="R31" s="57">
        <f t="shared" si="18"/>
        <v>290</v>
      </c>
      <c r="S31" s="57">
        <f t="shared" si="18"/>
        <v>291</v>
      </c>
      <c r="T31" s="57">
        <f t="shared" si="18"/>
        <v>292</v>
      </c>
      <c r="U31" s="57">
        <f t="shared" si="18"/>
        <v>293</v>
      </c>
      <c r="V31" s="57">
        <f t="shared" si="18"/>
        <v>294</v>
      </c>
      <c r="W31" s="57">
        <f t="shared" si="18"/>
        <v>295</v>
      </c>
      <c r="X31" s="57">
        <f t="shared" si="18"/>
        <v>296</v>
      </c>
      <c r="Y31" s="57">
        <f t="shared" si="18"/>
        <v>297</v>
      </c>
      <c r="Z31" s="57">
        <f t="shared" si="18"/>
        <v>298</v>
      </c>
      <c r="AA31" s="57">
        <f t="shared" si="18"/>
        <v>299</v>
      </c>
      <c r="AB31" s="57">
        <f t="shared" si="18"/>
        <v>300</v>
      </c>
      <c r="AC31" s="57">
        <f t="shared" si="18"/>
        <v>301</v>
      </c>
      <c r="AD31" s="57">
        <f t="shared" si="18"/>
        <v>302</v>
      </c>
      <c r="AE31" s="57">
        <f t="shared" si="18"/>
        <v>303</v>
      </c>
      <c r="AF31" s="57">
        <f t="shared" si="18"/>
        <v>304</v>
      </c>
      <c r="AG31" s="57">
        <f t="shared" si="18"/>
        <v>305</v>
      </c>
      <c r="AI31" s="199"/>
      <c r="AJ31" s="199"/>
      <c r="AK31" s="199"/>
    </row>
    <row r="32" spans="2:37">
      <c r="B32" s="197"/>
      <c r="C32" s="59" t="str">
        <f t="shared" ref="C32:AG32" si="19">TEXT(C31,"aaa")</f>
        <v>월</v>
      </c>
      <c r="D32" s="58" t="str">
        <f t="shared" si="19"/>
        <v>화</v>
      </c>
      <c r="E32" s="58" t="str">
        <f t="shared" si="19"/>
        <v>수</v>
      </c>
      <c r="F32" s="59" t="str">
        <f t="shared" si="19"/>
        <v>목</v>
      </c>
      <c r="G32" s="59" t="str">
        <f t="shared" si="19"/>
        <v>금</v>
      </c>
      <c r="H32" s="59" t="str">
        <f t="shared" si="19"/>
        <v>토</v>
      </c>
      <c r="I32" s="59" t="str">
        <f t="shared" si="19"/>
        <v>일</v>
      </c>
      <c r="J32" s="59" t="str">
        <f t="shared" si="19"/>
        <v>월</v>
      </c>
      <c r="K32" s="58" t="str">
        <f t="shared" si="19"/>
        <v>화</v>
      </c>
      <c r="L32" s="58" t="str">
        <f t="shared" si="19"/>
        <v>수</v>
      </c>
      <c r="M32" s="59" t="str">
        <f t="shared" si="19"/>
        <v>목</v>
      </c>
      <c r="N32" s="59" t="str">
        <f t="shared" si="19"/>
        <v>금</v>
      </c>
      <c r="O32" s="59" t="str">
        <f t="shared" si="19"/>
        <v>토</v>
      </c>
      <c r="P32" s="59" t="str">
        <f t="shared" si="19"/>
        <v>일</v>
      </c>
      <c r="Q32" s="59" t="str">
        <f t="shared" si="19"/>
        <v>월</v>
      </c>
      <c r="R32" s="58" t="str">
        <f t="shared" si="19"/>
        <v>화</v>
      </c>
      <c r="S32" s="58" t="str">
        <f t="shared" si="19"/>
        <v>수</v>
      </c>
      <c r="T32" s="59" t="str">
        <f t="shared" si="19"/>
        <v>목</v>
      </c>
      <c r="U32" s="59" t="str">
        <f t="shared" si="19"/>
        <v>금</v>
      </c>
      <c r="V32" s="59" t="str">
        <f t="shared" si="19"/>
        <v>토</v>
      </c>
      <c r="W32" s="59" t="str">
        <f t="shared" si="19"/>
        <v>일</v>
      </c>
      <c r="X32" s="59" t="str">
        <f t="shared" si="19"/>
        <v>월</v>
      </c>
      <c r="Y32" s="58" t="str">
        <f t="shared" si="19"/>
        <v>화</v>
      </c>
      <c r="Z32" s="58" t="str">
        <f t="shared" si="19"/>
        <v>수</v>
      </c>
      <c r="AA32" s="59" t="str">
        <f t="shared" si="19"/>
        <v>목</v>
      </c>
      <c r="AB32" s="59" t="str">
        <f t="shared" si="19"/>
        <v>금</v>
      </c>
      <c r="AC32" s="59" t="str">
        <f t="shared" si="19"/>
        <v>토</v>
      </c>
      <c r="AD32" s="59" t="str">
        <f t="shared" si="19"/>
        <v>일</v>
      </c>
      <c r="AE32" s="59" t="str">
        <f t="shared" si="19"/>
        <v>월</v>
      </c>
      <c r="AF32" s="58" t="str">
        <f t="shared" si="19"/>
        <v>화</v>
      </c>
      <c r="AG32" s="58" t="str">
        <f t="shared" si="19"/>
        <v>수</v>
      </c>
      <c r="AI32" s="200"/>
      <c r="AJ32" s="200"/>
      <c r="AK32" s="200"/>
    </row>
    <row r="33" spans="2:37" ht="19.5" customHeight="1">
      <c r="B33" s="198"/>
      <c r="C33" s="126"/>
      <c r="D33" s="126"/>
      <c r="E33" s="56" t="s">
        <v>91</v>
      </c>
      <c r="F33" s="55" t="s">
        <v>84</v>
      </c>
      <c r="G33" s="56" t="s">
        <v>85</v>
      </c>
      <c r="H33" s="127" t="s">
        <v>110</v>
      </c>
      <c r="I33" s="127" t="s">
        <v>109</v>
      </c>
      <c r="J33" s="127" t="s">
        <v>108</v>
      </c>
      <c r="K33" s="56" t="s">
        <v>92</v>
      </c>
      <c r="M33" s="55" t="s">
        <v>84</v>
      </c>
      <c r="N33" s="54" t="s">
        <v>85</v>
      </c>
      <c r="T33" s="55" t="s">
        <v>84</v>
      </c>
      <c r="U33" s="56" t="s">
        <v>85</v>
      </c>
      <c r="AA33" s="55" t="s">
        <v>84</v>
      </c>
      <c r="AB33" s="56" t="s">
        <v>85</v>
      </c>
      <c r="AI33" s="130">
        <f>COUNTIF(C33:AG33,"토")+COUNTIF(C33:AG33,"일")</f>
        <v>8</v>
      </c>
      <c r="AJ33" s="130">
        <f>COUNTA(C33:AG33)-AI33</f>
        <v>5</v>
      </c>
      <c r="AK33" s="130">
        <f>AI33+AJ33</f>
        <v>13</v>
      </c>
    </row>
    <row r="34" spans="2:37">
      <c r="B34" s="202">
        <f>EOMONTH(B31,0)+1</f>
        <v>306</v>
      </c>
      <c r="C34" s="52">
        <f>B34</f>
        <v>306</v>
      </c>
      <c r="D34" s="52">
        <f>C34+1</f>
        <v>307</v>
      </c>
      <c r="E34" s="52">
        <f t="shared" ref="E34:AF34" si="20">D34+1</f>
        <v>308</v>
      </c>
      <c r="F34" s="52">
        <f t="shared" si="20"/>
        <v>309</v>
      </c>
      <c r="G34" s="52">
        <f t="shared" si="20"/>
        <v>310</v>
      </c>
      <c r="H34" s="52">
        <f t="shared" si="20"/>
        <v>311</v>
      </c>
      <c r="I34" s="52">
        <f t="shared" si="20"/>
        <v>312</v>
      </c>
      <c r="J34" s="52">
        <f t="shared" si="20"/>
        <v>313</v>
      </c>
      <c r="K34" s="52">
        <f t="shared" si="20"/>
        <v>314</v>
      </c>
      <c r="L34" s="52">
        <f t="shared" si="20"/>
        <v>315</v>
      </c>
      <c r="M34" s="52">
        <f t="shared" si="20"/>
        <v>316</v>
      </c>
      <c r="N34" s="52">
        <f t="shared" si="20"/>
        <v>317</v>
      </c>
      <c r="O34" s="52">
        <f t="shared" si="20"/>
        <v>318</v>
      </c>
      <c r="P34" s="52">
        <f t="shared" si="20"/>
        <v>319</v>
      </c>
      <c r="Q34" s="52">
        <f t="shared" si="20"/>
        <v>320</v>
      </c>
      <c r="R34" s="52">
        <f t="shared" si="20"/>
        <v>321</v>
      </c>
      <c r="S34" s="52">
        <f t="shared" si="20"/>
        <v>322</v>
      </c>
      <c r="T34" s="52">
        <f t="shared" si="20"/>
        <v>323</v>
      </c>
      <c r="U34" s="52">
        <f t="shared" si="20"/>
        <v>324</v>
      </c>
      <c r="V34" s="52">
        <f t="shared" si="20"/>
        <v>325</v>
      </c>
      <c r="W34" s="52">
        <f t="shared" si="20"/>
        <v>326</v>
      </c>
      <c r="X34" s="52">
        <f t="shared" si="20"/>
        <v>327</v>
      </c>
      <c r="Y34" s="52">
        <f t="shared" si="20"/>
        <v>328</v>
      </c>
      <c r="Z34" s="52">
        <f t="shared" si="20"/>
        <v>329</v>
      </c>
      <c r="AA34" s="52">
        <f t="shared" si="20"/>
        <v>330</v>
      </c>
      <c r="AB34" s="52">
        <f t="shared" si="20"/>
        <v>331</v>
      </c>
      <c r="AC34" s="52">
        <f t="shared" si="20"/>
        <v>332</v>
      </c>
      <c r="AD34" s="52">
        <f t="shared" si="20"/>
        <v>333</v>
      </c>
      <c r="AE34" s="52">
        <f t="shared" si="20"/>
        <v>334</v>
      </c>
      <c r="AF34" s="52">
        <f t="shared" si="20"/>
        <v>335</v>
      </c>
      <c r="AG34" s="52"/>
      <c r="AI34" s="207"/>
      <c r="AJ34" s="207"/>
      <c r="AK34" s="207"/>
    </row>
    <row r="35" spans="2:37">
      <c r="B35" s="203"/>
      <c r="C35" s="61" t="str">
        <f t="shared" ref="C35:AF35" si="21">TEXT(C34,"aaa")</f>
        <v>목</v>
      </c>
      <c r="D35" s="61" t="str">
        <f t="shared" si="21"/>
        <v>금</v>
      </c>
      <c r="E35" s="61" t="str">
        <f t="shared" si="21"/>
        <v>토</v>
      </c>
      <c r="F35" s="61" t="str">
        <f t="shared" si="21"/>
        <v>일</v>
      </c>
      <c r="G35" s="61" t="str">
        <f t="shared" si="21"/>
        <v>월</v>
      </c>
      <c r="H35" s="53" t="str">
        <f t="shared" si="21"/>
        <v>화</v>
      </c>
      <c r="I35" s="53" t="str">
        <f t="shared" si="21"/>
        <v>수</v>
      </c>
      <c r="J35" s="61" t="str">
        <f t="shared" si="21"/>
        <v>목</v>
      </c>
      <c r="K35" s="61" t="str">
        <f t="shared" si="21"/>
        <v>금</v>
      </c>
      <c r="L35" s="61" t="str">
        <f t="shared" si="21"/>
        <v>토</v>
      </c>
      <c r="M35" s="61" t="str">
        <f t="shared" si="21"/>
        <v>일</v>
      </c>
      <c r="N35" s="61" t="str">
        <f t="shared" si="21"/>
        <v>월</v>
      </c>
      <c r="O35" s="53" t="str">
        <f t="shared" si="21"/>
        <v>화</v>
      </c>
      <c r="P35" s="53" t="str">
        <f t="shared" si="21"/>
        <v>수</v>
      </c>
      <c r="Q35" s="61" t="str">
        <f t="shared" si="21"/>
        <v>목</v>
      </c>
      <c r="R35" s="61" t="str">
        <f t="shared" si="21"/>
        <v>금</v>
      </c>
      <c r="S35" s="61" t="str">
        <f t="shared" si="21"/>
        <v>토</v>
      </c>
      <c r="T35" s="61" t="str">
        <f t="shared" si="21"/>
        <v>일</v>
      </c>
      <c r="U35" s="61" t="str">
        <f t="shared" si="21"/>
        <v>월</v>
      </c>
      <c r="V35" s="53" t="str">
        <f t="shared" si="21"/>
        <v>화</v>
      </c>
      <c r="W35" s="53" t="str">
        <f t="shared" si="21"/>
        <v>수</v>
      </c>
      <c r="X35" s="61" t="str">
        <f t="shared" si="21"/>
        <v>목</v>
      </c>
      <c r="Y35" s="61" t="str">
        <f t="shared" si="21"/>
        <v>금</v>
      </c>
      <c r="Z35" s="61" t="str">
        <f t="shared" si="21"/>
        <v>토</v>
      </c>
      <c r="AA35" s="61" t="str">
        <f t="shared" si="21"/>
        <v>일</v>
      </c>
      <c r="AB35" s="61" t="str">
        <f t="shared" si="21"/>
        <v>월</v>
      </c>
      <c r="AC35" s="53" t="str">
        <f t="shared" si="21"/>
        <v>화</v>
      </c>
      <c r="AD35" s="53" t="str">
        <f t="shared" si="21"/>
        <v>수</v>
      </c>
      <c r="AE35" s="61" t="str">
        <f t="shared" si="21"/>
        <v>목</v>
      </c>
      <c r="AF35" s="61" t="str">
        <f t="shared" si="21"/>
        <v>금</v>
      </c>
      <c r="AG35" s="61"/>
      <c r="AI35" s="206"/>
      <c r="AJ35" s="206"/>
      <c r="AK35" s="206"/>
    </row>
    <row r="36" spans="2:37" ht="19.5" customHeight="1">
      <c r="B36" s="204"/>
      <c r="C36" s="55" t="s">
        <v>84</v>
      </c>
      <c r="D36" s="56" t="s">
        <v>85</v>
      </c>
      <c r="J36" s="55" t="s">
        <v>84</v>
      </c>
      <c r="K36" s="56" t="s">
        <v>85</v>
      </c>
      <c r="Q36" s="55" t="s">
        <v>84</v>
      </c>
      <c r="R36" s="56" t="s">
        <v>85</v>
      </c>
      <c r="X36" s="55" t="s">
        <v>84</v>
      </c>
      <c r="Y36" s="56" t="s">
        <v>85</v>
      </c>
      <c r="AE36" s="55" t="s">
        <v>84</v>
      </c>
      <c r="AF36" s="56" t="s">
        <v>85</v>
      </c>
      <c r="AG36" s="126"/>
      <c r="AI36" s="130">
        <f>COUNTIF(C36:AG36,"토")+COUNTIF(C36:AG36,"일")</f>
        <v>10</v>
      </c>
      <c r="AJ36" s="130">
        <f>COUNTA(C36:AG36)-AI36</f>
        <v>0</v>
      </c>
      <c r="AK36" s="130">
        <f>AI36+AJ36</f>
        <v>10</v>
      </c>
    </row>
    <row r="37" spans="2:37">
      <c r="B37" s="196">
        <f>EOMONTH(B34,0)+1</f>
        <v>336</v>
      </c>
      <c r="C37" s="57">
        <f>B37</f>
        <v>336</v>
      </c>
      <c r="D37" s="57">
        <f>C37+1</f>
        <v>337</v>
      </c>
      <c r="E37" s="57">
        <f t="shared" ref="E37:AG37" si="22">D37+1</f>
        <v>338</v>
      </c>
      <c r="F37" s="57">
        <f t="shared" si="22"/>
        <v>339</v>
      </c>
      <c r="G37" s="57">
        <f t="shared" si="22"/>
        <v>340</v>
      </c>
      <c r="H37" s="57">
        <f t="shared" si="22"/>
        <v>341</v>
      </c>
      <c r="I37" s="57">
        <f t="shared" si="22"/>
        <v>342</v>
      </c>
      <c r="J37" s="57">
        <f t="shared" si="22"/>
        <v>343</v>
      </c>
      <c r="K37" s="57">
        <f t="shared" si="22"/>
        <v>344</v>
      </c>
      <c r="L37" s="57">
        <f t="shared" si="22"/>
        <v>345</v>
      </c>
      <c r="M37" s="57">
        <f t="shared" si="22"/>
        <v>346</v>
      </c>
      <c r="N37" s="57">
        <f t="shared" si="22"/>
        <v>347</v>
      </c>
      <c r="O37" s="57">
        <f t="shared" si="22"/>
        <v>348</v>
      </c>
      <c r="P37" s="57">
        <f t="shared" si="22"/>
        <v>349</v>
      </c>
      <c r="Q37" s="57">
        <f t="shared" si="22"/>
        <v>350</v>
      </c>
      <c r="R37" s="57">
        <f t="shared" si="22"/>
        <v>351</v>
      </c>
      <c r="S37" s="57">
        <f t="shared" si="22"/>
        <v>352</v>
      </c>
      <c r="T37" s="57">
        <f t="shared" si="22"/>
        <v>353</v>
      </c>
      <c r="U37" s="57">
        <f t="shared" si="22"/>
        <v>354</v>
      </c>
      <c r="V37" s="57">
        <f t="shared" si="22"/>
        <v>355</v>
      </c>
      <c r="W37" s="57">
        <f t="shared" si="22"/>
        <v>356</v>
      </c>
      <c r="X37" s="57">
        <f t="shared" si="22"/>
        <v>357</v>
      </c>
      <c r="Y37" s="57">
        <f t="shared" si="22"/>
        <v>358</v>
      </c>
      <c r="Z37" s="57">
        <f t="shared" si="22"/>
        <v>359</v>
      </c>
      <c r="AA37" s="57">
        <f t="shared" si="22"/>
        <v>360</v>
      </c>
      <c r="AB37" s="57">
        <f t="shared" si="22"/>
        <v>361</v>
      </c>
      <c r="AC37" s="57">
        <f t="shared" si="22"/>
        <v>362</v>
      </c>
      <c r="AD37" s="57">
        <f t="shared" si="22"/>
        <v>363</v>
      </c>
      <c r="AE37" s="57">
        <f t="shared" si="22"/>
        <v>364</v>
      </c>
      <c r="AF37" s="57">
        <f t="shared" si="22"/>
        <v>365</v>
      </c>
      <c r="AG37" s="57">
        <f t="shared" si="22"/>
        <v>366</v>
      </c>
      <c r="AI37" s="199"/>
      <c r="AJ37" s="199"/>
      <c r="AK37" s="199"/>
    </row>
    <row r="38" spans="2:37">
      <c r="B38" s="197"/>
      <c r="C38" s="59" t="str">
        <f t="shared" ref="C38:AG38" si="23">TEXT(C37,"aaa")</f>
        <v>토</v>
      </c>
      <c r="D38" s="59" t="str">
        <f t="shared" si="23"/>
        <v>일</v>
      </c>
      <c r="E38" s="59" t="str">
        <f t="shared" si="23"/>
        <v>월</v>
      </c>
      <c r="F38" s="58" t="str">
        <f t="shared" si="23"/>
        <v>화</v>
      </c>
      <c r="G38" s="58" t="str">
        <f t="shared" si="23"/>
        <v>수</v>
      </c>
      <c r="H38" s="59" t="str">
        <f t="shared" si="23"/>
        <v>목</v>
      </c>
      <c r="I38" s="59" t="str">
        <f t="shared" si="23"/>
        <v>금</v>
      </c>
      <c r="J38" s="59" t="str">
        <f t="shared" si="23"/>
        <v>토</v>
      </c>
      <c r="K38" s="59" t="str">
        <f t="shared" si="23"/>
        <v>일</v>
      </c>
      <c r="L38" s="59" t="str">
        <f t="shared" si="23"/>
        <v>월</v>
      </c>
      <c r="M38" s="58" t="str">
        <f t="shared" si="23"/>
        <v>화</v>
      </c>
      <c r="N38" s="58" t="str">
        <f t="shared" si="23"/>
        <v>수</v>
      </c>
      <c r="O38" s="59" t="str">
        <f t="shared" si="23"/>
        <v>목</v>
      </c>
      <c r="P38" s="59" t="str">
        <f t="shared" si="23"/>
        <v>금</v>
      </c>
      <c r="Q38" s="59" t="str">
        <f t="shared" si="23"/>
        <v>토</v>
      </c>
      <c r="R38" s="59" t="str">
        <f t="shared" si="23"/>
        <v>일</v>
      </c>
      <c r="S38" s="59" t="str">
        <f t="shared" si="23"/>
        <v>월</v>
      </c>
      <c r="T38" s="58" t="str">
        <f t="shared" si="23"/>
        <v>화</v>
      </c>
      <c r="U38" s="58" t="str">
        <f t="shared" si="23"/>
        <v>수</v>
      </c>
      <c r="V38" s="59" t="str">
        <f t="shared" si="23"/>
        <v>목</v>
      </c>
      <c r="W38" s="59" t="str">
        <f t="shared" si="23"/>
        <v>금</v>
      </c>
      <c r="X38" s="59" t="str">
        <f t="shared" si="23"/>
        <v>토</v>
      </c>
      <c r="Y38" s="59" t="str">
        <f t="shared" si="23"/>
        <v>일</v>
      </c>
      <c r="Z38" s="59" t="str">
        <f t="shared" si="23"/>
        <v>월</v>
      </c>
      <c r="AA38" s="58" t="str">
        <f t="shared" si="23"/>
        <v>화</v>
      </c>
      <c r="AB38" s="58" t="str">
        <f t="shared" si="23"/>
        <v>수</v>
      </c>
      <c r="AC38" s="59" t="str">
        <f t="shared" si="23"/>
        <v>목</v>
      </c>
      <c r="AD38" s="59" t="str">
        <f t="shared" si="23"/>
        <v>금</v>
      </c>
      <c r="AE38" s="59" t="str">
        <f t="shared" si="23"/>
        <v>토</v>
      </c>
      <c r="AF38" s="59" t="str">
        <f t="shared" si="23"/>
        <v>일</v>
      </c>
      <c r="AG38" s="59" t="str">
        <f t="shared" si="23"/>
        <v>월</v>
      </c>
      <c r="AI38" s="200"/>
      <c r="AJ38" s="200"/>
      <c r="AK38" s="200"/>
    </row>
    <row r="39" spans="2:37" ht="19.5" customHeight="1">
      <c r="B39" s="198"/>
      <c r="C39" s="126"/>
      <c r="D39" s="126"/>
      <c r="H39" s="55" t="s">
        <v>84</v>
      </c>
      <c r="I39" s="56" t="s">
        <v>85</v>
      </c>
      <c r="N39" s="60"/>
      <c r="O39" s="55" t="s">
        <v>84</v>
      </c>
      <c r="P39" s="56" t="s">
        <v>85</v>
      </c>
      <c r="V39" s="55" t="s">
        <v>84</v>
      </c>
      <c r="W39" s="56" t="s">
        <v>85</v>
      </c>
      <c r="AA39" s="56" t="s">
        <v>93</v>
      </c>
      <c r="AB39" s="126"/>
      <c r="AC39" s="55" t="s">
        <v>84</v>
      </c>
      <c r="AD39" s="56" t="s">
        <v>85</v>
      </c>
      <c r="AI39" s="130">
        <f>COUNTIF(C39:AG39,"토")+COUNTIF(C39:AG39,"일")</f>
        <v>8</v>
      </c>
      <c r="AJ39" s="130">
        <f>COUNTA(C39:AG39)-AI39</f>
        <v>1</v>
      </c>
      <c r="AK39" s="130">
        <f>AI39+AJ39</f>
        <v>9</v>
      </c>
    </row>
    <row r="40" spans="2:37">
      <c r="B40" s="202">
        <f>EOMONTH(B37,0)+1</f>
        <v>367</v>
      </c>
      <c r="C40" s="52">
        <f>B40</f>
        <v>367</v>
      </c>
      <c r="D40" s="52">
        <f>C40+1</f>
        <v>368</v>
      </c>
      <c r="E40" s="52">
        <f t="shared" ref="E40:AG40" si="24">D40+1</f>
        <v>369</v>
      </c>
      <c r="F40" s="52">
        <f t="shared" si="24"/>
        <v>370</v>
      </c>
      <c r="G40" s="52">
        <f t="shared" si="24"/>
        <v>371</v>
      </c>
      <c r="H40" s="52">
        <f t="shared" si="24"/>
        <v>372</v>
      </c>
      <c r="I40" s="52">
        <f t="shared" si="24"/>
        <v>373</v>
      </c>
      <c r="J40" s="52">
        <f t="shared" si="24"/>
        <v>374</v>
      </c>
      <c r="K40" s="52">
        <f t="shared" si="24"/>
        <v>375</v>
      </c>
      <c r="L40" s="52">
        <f t="shared" si="24"/>
        <v>376</v>
      </c>
      <c r="M40" s="52">
        <f t="shared" si="24"/>
        <v>377</v>
      </c>
      <c r="N40" s="52">
        <f t="shared" si="24"/>
        <v>378</v>
      </c>
      <c r="O40" s="52">
        <f t="shared" si="24"/>
        <v>379</v>
      </c>
      <c r="P40" s="52">
        <f t="shared" si="24"/>
        <v>380</v>
      </c>
      <c r="Q40" s="52">
        <f t="shared" si="24"/>
        <v>381</v>
      </c>
      <c r="R40" s="52">
        <f t="shared" si="24"/>
        <v>382</v>
      </c>
      <c r="S40" s="52">
        <f t="shared" si="24"/>
        <v>383</v>
      </c>
      <c r="T40" s="52">
        <f t="shared" si="24"/>
        <v>384</v>
      </c>
      <c r="U40" s="52">
        <f t="shared" si="24"/>
        <v>385</v>
      </c>
      <c r="V40" s="52">
        <f t="shared" si="24"/>
        <v>386</v>
      </c>
      <c r="W40" s="52">
        <f t="shared" si="24"/>
        <v>387</v>
      </c>
      <c r="X40" s="52">
        <f t="shared" si="24"/>
        <v>388</v>
      </c>
      <c r="Y40" s="52">
        <f t="shared" si="24"/>
        <v>389</v>
      </c>
      <c r="Z40" s="52">
        <f t="shared" si="24"/>
        <v>390</v>
      </c>
      <c r="AA40" s="52">
        <f t="shared" si="24"/>
        <v>391</v>
      </c>
      <c r="AB40" s="52">
        <f t="shared" si="24"/>
        <v>392</v>
      </c>
      <c r="AC40" s="52">
        <f t="shared" si="24"/>
        <v>393</v>
      </c>
      <c r="AD40" s="52">
        <f t="shared" si="24"/>
        <v>394</v>
      </c>
      <c r="AE40" s="52">
        <f t="shared" si="24"/>
        <v>395</v>
      </c>
      <c r="AF40" s="52">
        <f t="shared" si="24"/>
        <v>396</v>
      </c>
      <c r="AG40" s="52">
        <f t="shared" si="24"/>
        <v>397</v>
      </c>
      <c r="AI40" s="207"/>
      <c r="AJ40" s="207"/>
      <c r="AK40" s="207"/>
    </row>
    <row r="41" spans="2:37">
      <c r="B41" s="203"/>
      <c r="C41" s="53" t="str">
        <f t="shared" ref="C41:AG41" si="25">TEXT(C40,"aaa")</f>
        <v>화</v>
      </c>
      <c r="D41" s="53" t="str">
        <f t="shared" si="25"/>
        <v>수</v>
      </c>
      <c r="E41" s="61" t="str">
        <f t="shared" si="25"/>
        <v>목</v>
      </c>
      <c r="F41" s="61" t="str">
        <f t="shared" si="25"/>
        <v>금</v>
      </c>
      <c r="G41" s="61" t="str">
        <f t="shared" si="25"/>
        <v>토</v>
      </c>
      <c r="H41" s="61" t="str">
        <f t="shared" si="25"/>
        <v>일</v>
      </c>
      <c r="I41" s="61" t="str">
        <f t="shared" si="25"/>
        <v>월</v>
      </c>
      <c r="J41" s="53" t="str">
        <f t="shared" si="25"/>
        <v>화</v>
      </c>
      <c r="K41" s="53" t="str">
        <f t="shared" si="25"/>
        <v>수</v>
      </c>
      <c r="L41" s="61" t="str">
        <f t="shared" si="25"/>
        <v>목</v>
      </c>
      <c r="M41" s="61" t="str">
        <f t="shared" si="25"/>
        <v>금</v>
      </c>
      <c r="N41" s="61" t="str">
        <f t="shared" si="25"/>
        <v>토</v>
      </c>
      <c r="O41" s="61" t="str">
        <f t="shared" si="25"/>
        <v>일</v>
      </c>
      <c r="P41" s="61" t="str">
        <f t="shared" si="25"/>
        <v>월</v>
      </c>
      <c r="Q41" s="53" t="str">
        <f t="shared" si="25"/>
        <v>화</v>
      </c>
      <c r="R41" s="53" t="str">
        <f t="shared" si="25"/>
        <v>수</v>
      </c>
      <c r="S41" s="61" t="str">
        <f t="shared" si="25"/>
        <v>목</v>
      </c>
      <c r="T41" s="61" t="str">
        <f t="shared" si="25"/>
        <v>금</v>
      </c>
      <c r="U41" s="61" t="str">
        <f t="shared" si="25"/>
        <v>토</v>
      </c>
      <c r="V41" s="61" t="str">
        <f t="shared" si="25"/>
        <v>일</v>
      </c>
      <c r="W41" s="61" t="str">
        <f t="shared" si="25"/>
        <v>월</v>
      </c>
      <c r="X41" s="53" t="str">
        <f t="shared" si="25"/>
        <v>화</v>
      </c>
      <c r="Y41" s="53" t="str">
        <f t="shared" si="25"/>
        <v>수</v>
      </c>
      <c r="Z41" s="61" t="str">
        <f t="shared" si="25"/>
        <v>목</v>
      </c>
      <c r="AA41" s="61" t="str">
        <f t="shared" si="25"/>
        <v>금</v>
      </c>
      <c r="AB41" s="61" t="str">
        <f t="shared" si="25"/>
        <v>토</v>
      </c>
      <c r="AC41" s="61" t="str">
        <f t="shared" si="25"/>
        <v>일</v>
      </c>
      <c r="AD41" s="61" t="str">
        <f t="shared" si="25"/>
        <v>월</v>
      </c>
      <c r="AE41" s="53" t="str">
        <f t="shared" si="25"/>
        <v>화</v>
      </c>
      <c r="AF41" s="53" t="str">
        <f t="shared" si="25"/>
        <v>수</v>
      </c>
      <c r="AG41" s="61" t="str">
        <f t="shared" si="25"/>
        <v>목</v>
      </c>
      <c r="AI41" s="206"/>
      <c r="AJ41" s="206"/>
      <c r="AK41" s="206"/>
    </row>
    <row r="42" spans="2:37" ht="19.5" customHeight="1">
      <c r="B42" s="204"/>
      <c r="C42" s="56" t="s">
        <v>94</v>
      </c>
      <c r="D42" s="126"/>
      <c r="E42" s="55" t="s">
        <v>84</v>
      </c>
      <c r="F42" s="56" t="s">
        <v>85</v>
      </c>
      <c r="L42" s="55" t="s">
        <v>84</v>
      </c>
      <c r="M42" s="56" t="s">
        <v>85</v>
      </c>
      <c r="S42" s="55" t="s">
        <v>84</v>
      </c>
      <c r="T42" s="56" t="s">
        <v>85</v>
      </c>
      <c r="Y42" s="70"/>
      <c r="Z42" s="55" t="s">
        <v>84</v>
      </c>
      <c r="AA42" s="56" t="s">
        <v>85</v>
      </c>
      <c r="AG42" s="55" t="s">
        <v>84</v>
      </c>
      <c r="AI42" s="130">
        <f>COUNTIF(C42:AG42,"토")+COUNTIF(C42:AG42,"일")</f>
        <v>9</v>
      </c>
      <c r="AJ42" s="130">
        <f>COUNTA(C42:AG42)-AI42</f>
        <v>1</v>
      </c>
      <c r="AK42" s="130">
        <f>AI42+AJ42</f>
        <v>10</v>
      </c>
    </row>
    <row r="43" spans="2:37">
      <c r="B43" s="196">
        <f>EOMONTH(B40,0)+1</f>
        <v>398</v>
      </c>
      <c r="C43" s="57">
        <f>B43</f>
        <v>398</v>
      </c>
      <c r="D43" s="57">
        <f>C43+1</f>
        <v>399</v>
      </c>
      <c r="E43" s="57">
        <f t="shared" ref="E43:AD43" si="26">D43+1</f>
        <v>400</v>
      </c>
      <c r="F43" s="57">
        <f t="shared" si="26"/>
        <v>401</v>
      </c>
      <c r="G43" s="57">
        <f t="shared" si="26"/>
        <v>402</v>
      </c>
      <c r="H43" s="57">
        <f t="shared" si="26"/>
        <v>403</v>
      </c>
      <c r="I43" s="57">
        <f t="shared" si="26"/>
        <v>404</v>
      </c>
      <c r="J43" s="57">
        <f t="shared" si="26"/>
        <v>405</v>
      </c>
      <c r="K43" s="57">
        <f t="shared" si="26"/>
        <v>406</v>
      </c>
      <c r="L43" s="57">
        <f t="shared" si="26"/>
        <v>407</v>
      </c>
      <c r="M43" s="57">
        <f t="shared" si="26"/>
        <v>408</v>
      </c>
      <c r="N43" s="57">
        <f t="shared" si="26"/>
        <v>409</v>
      </c>
      <c r="O43" s="57">
        <f t="shared" si="26"/>
        <v>410</v>
      </c>
      <c r="P43" s="57">
        <f t="shared" si="26"/>
        <v>411</v>
      </c>
      <c r="Q43" s="57">
        <f t="shared" si="26"/>
        <v>412</v>
      </c>
      <c r="R43" s="57">
        <f t="shared" si="26"/>
        <v>413</v>
      </c>
      <c r="S43" s="57">
        <f t="shared" si="26"/>
        <v>414</v>
      </c>
      <c r="T43" s="57">
        <f t="shared" si="26"/>
        <v>415</v>
      </c>
      <c r="U43" s="57">
        <f t="shared" si="26"/>
        <v>416</v>
      </c>
      <c r="V43" s="57">
        <f t="shared" si="26"/>
        <v>417</v>
      </c>
      <c r="W43" s="57">
        <f t="shared" si="26"/>
        <v>418</v>
      </c>
      <c r="X43" s="57">
        <f t="shared" si="26"/>
        <v>419</v>
      </c>
      <c r="Y43" s="57">
        <f t="shared" si="26"/>
        <v>420</v>
      </c>
      <c r="Z43" s="57">
        <f t="shared" si="26"/>
        <v>421</v>
      </c>
      <c r="AA43" s="57">
        <f t="shared" si="26"/>
        <v>422</v>
      </c>
      <c r="AB43" s="57">
        <f t="shared" si="26"/>
        <v>423</v>
      </c>
      <c r="AC43" s="57">
        <f t="shared" si="26"/>
        <v>424</v>
      </c>
      <c r="AD43" s="57">
        <f t="shared" si="26"/>
        <v>425</v>
      </c>
      <c r="AE43" s="57" t="str">
        <f>IF(DAY(EOMONTH(B43,0))=28,"",AD43+1)</f>
        <v/>
      </c>
      <c r="AF43" s="57"/>
      <c r="AG43" s="57"/>
      <c r="AI43" s="199"/>
      <c r="AJ43" s="199"/>
      <c r="AK43" s="199"/>
    </row>
    <row r="44" spans="2:37">
      <c r="B44" s="197"/>
      <c r="C44" s="59" t="str">
        <f t="shared" ref="C44:AE44" si="27">TEXT(C43,"aaa")</f>
        <v>금</v>
      </c>
      <c r="D44" s="59" t="str">
        <f t="shared" si="27"/>
        <v>토</v>
      </c>
      <c r="E44" s="59" t="str">
        <f t="shared" si="27"/>
        <v>일</v>
      </c>
      <c r="F44" s="59" t="str">
        <f t="shared" si="27"/>
        <v>월</v>
      </c>
      <c r="G44" s="58" t="str">
        <f t="shared" si="27"/>
        <v>화</v>
      </c>
      <c r="H44" s="58" t="str">
        <f t="shared" si="27"/>
        <v>수</v>
      </c>
      <c r="I44" s="59" t="str">
        <f t="shared" si="27"/>
        <v>목</v>
      </c>
      <c r="J44" s="59" t="str">
        <f t="shared" si="27"/>
        <v>금</v>
      </c>
      <c r="K44" s="59" t="str">
        <f t="shared" si="27"/>
        <v>토</v>
      </c>
      <c r="L44" s="59" t="str">
        <f t="shared" si="27"/>
        <v>일</v>
      </c>
      <c r="M44" s="59" t="str">
        <f t="shared" si="27"/>
        <v>월</v>
      </c>
      <c r="N44" s="58" t="str">
        <f t="shared" si="27"/>
        <v>화</v>
      </c>
      <c r="O44" s="58" t="str">
        <f t="shared" si="27"/>
        <v>수</v>
      </c>
      <c r="P44" s="59" t="str">
        <f t="shared" si="27"/>
        <v>목</v>
      </c>
      <c r="Q44" s="59" t="str">
        <f t="shared" si="27"/>
        <v>금</v>
      </c>
      <c r="R44" s="59" t="str">
        <f t="shared" si="27"/>
        <v>토</v>
      </c>
      <c r="S44" s="59" t="str">
        <f t="shared" si="27"/>
        <v>일</v>
      </c>
      <c r="T44" s="59" t="str">
        <f t="shared" si="27"/>
        <v>월</v>
      </c>
      <c r="U44" s="58" t="str">
        <f t="shared" si="27"/>
        <v>화</v>
      </c>
      <c r="V44" s="58" t="str">
        <f t="shared" si="27"/>
        <v>수</v>
      </c>
      <c r="W44" s="59" t="str">
        <f t="shared" si="27"/>
        <v>목</v>
      </c>
      <c r="X44" s="59" t="str">
        <f t="shared" si="27"/>
        <v>금</v>
      </c>
      <c r="Y44" s="59" t="str">
        <f t="shared" si="27"/>
        <v>토</v>
      </c>
      <c r="Z44" s="59" t="str">
        <f t="shared" si="27"/>
        <v>일</v>
      </c>
      <c r="AA44" s="59" t="str">
        <f t="shared" si="27"/>
        <v>월</v>
      </c>
      <c r="AB44" s="58" t="str">
        <f t="shared" si="27"/>
        <v>화</v>
      </c>
      <c r="AC44" s="58" t="str">
        <f t="shared" si="27"/>
        <v>수</v>
      </c>
      <c r="AD44" s="59" t="str">
        <f t="shared" si="27"/>
        <v>목</v>
      </c>
      <c r="AE44" s="59" t="str">
        <f t="shared" si="27"/>
        <v/>
      </c>
      <c r="AF44" s="59"/>
      <c r="AG44" s="59"/>
      <c r="AI44" s="200"/>
      <c r="AJ44" s="200"/>
      <c r="AK44" s="200"/>
    </row>
    <row r="45" spans="2:37" ht="19.5" customHeight="1" thickBot="1">
      <c r="B45" s="198"/>
      <c r="C45" s="56" t="s">
        <v>85</v>
      </c>
      <c r="F45" s="128"/>
      <c r="I45" s="55" t="s">
        <v>84</v>
      </c>
      <c r="J45" s="56" t="s">
        <v>85</v>
      </c>
      <c r="P45" s="55" t="s">
        <v>84</v>
      </c>
      <c r="Q45" s="56" t="s">
        <v>85</v>
      </c>
      <c r="R45" s="56" t="s">
        <v>106</v>
      </c>
      <c r="S45" s="56" t="s">
        <v>107</v>
      </c>
      <c r="T45" s="56" t="s">
        <v>106</v>
      </c>
      <c r="W45" s="55" t="s">
        <v>84</v>
      </c>
      <c r="X45" s="56" t="s">
        <v>85</v>
      </c>
      <c r="AD45" s="55" t="s">
        <v>84</v>
      </c>
      <c r="AE45" s="126"/>
      <c r="AF45" s="126"/>
      <c r="AG45" s="126"/>
      <c r="AI45" s="130">
        <f>COUNTIF(C45:AG45,"토")+COUNTIF(C45:AG45,"일")</f>
        <v>8</v>
      </c>
      <c r="AJ45" s="130">
        <f>COUNTA(C45:AG45)-AI45</f>
        <v>3</v>
      </c>
      <c r="AK45" s="130">
        <f>AI45+AJ45</f>
        <v>11</v>
      </c>
    </row>
    <row r="46" spans="2:37" ht="21" customHeight="1" thickBot="1">
      <c r="B46" s="121" t="s">
        <v>101</v>
      </c>
      <c r="C46" s="121">
        <f>COUNTA(C6,C9,C12,C15,C18,C21,C24,C27,C30,C33,C36,C39)</f>
        <v>6</v>
      </c>
      <c r="D46" s="121">
        <f t="shared" ref="D46:AG46" si="28">COUNTA(D6,D9,D12,D15,D18,D21,D24,D27,D30,D33,D36,D39)</f>
        <v>4</v>
      </c>
      <c r="E46" s="121">
        <f t="shared" si="28"/>
        <v>5</v>
      </c>
      <c r="F46" s="121">
        <f t="shared" si="28"/>
        <v>3</v>
      </c>
      <c r="G46" s="121">
        <f t="shared" si="28"/>
        <v>5</v>
      </c>
      <c r="H46" s="121">
        <f t="shared" si="28"/>
        <v>7</v>
      </c>
      <c r="I46" s="121">
        <f t="shared" si="28"/>
        <v>4</v>
      </c>
      <c r="J46" s="121">
        <f t="shared" si="28"/>
        <v>5</v>
      </c>
      <c r="K46" s="121">
        <f t="shared" si="28"/>
        <v>5</v>
      </c>
      <c r="L46" s="121">
        <f t="shared" si="28"/>
        <v>2</v>
      </c>
      <c r="M46" s="121">
        <f t="shared" si="28"/>
        <v>3</v>
      </c>
      <c r="N46" s="121">
        <f t="shared" si="28"/>
        <v>4</v>
      </c>
      <c r="O46" s="121">
        <f t="shared" si="28"/>
        <v>4</v>
      </c>
      <c r="P46" s="121">
        <f t="shared" si="28"/>
        <v>3</v>
      </c>
      <c r="Q46" s="121">
        <f t="shared" si="28"/>
        <v>5</v>
      </c>
      <c r="R46" s="121">
        <f t="shared" si="28"/>
        <v>4</v>
      </c>
      <c r="S46" s="121">
        <f t="shared" si="28"/>
        <v>2</v>
      </c>
      <c r="T46" s="121">
        <f t="shared" si="28"/>
        <v>3</v>
      </c>
      <c r="U46" s="121">
        <f t="shared" si="28"/>
        <v>4</v>
      </c>
      <c r="V46" s="121">
        <f t="shared" si="28"/>
        <v>4</v>
      </c>
      <c r="W46" s="121">
        <f t="shared" si="28"/>
        <v>3</v>
      </c>
      <c r="X46" s="121">
        <f t="shared" si="28"/>
        <v>4</v>
      </c>
      <c r="Y46" s="121">
        <f t="shared" si="28"/>
        <v>4</v>
      </c>
      <c r="Z46" s="121">
        <f t="shared" si="28"/>
        <v>2</v>
      </c>
      <c r="AA46" s="121">
        <f t="shared" si="28"/>
        <v>4</v>
      </c>
      <c r="AB46" s="121">
        <f t="shared" si="28"/>
        <v>4</v>
      </c>
      <c r="AC46" s="121">
        <f t="shared" si="28"/>
        <v>5</v>
      </c>
      <c r="AD46" s="121">
        <f t="shared" si="28"/>
        <v>4</v>
      </c>
      <c r="AE46" s="121">
        <f t="shared" si="28"/>
        <v>4</v>
      </c>
      <c r="AF46" s="121">
        <f t="shared" si="28"/>
        <v>4</v>
      </c>
      <c r="AG46" s="121">
        <f t="shared" si="28"/>
        <v>2</v>
      </c>
      <c r="AI46" s="62">
        <f>SUBTOTAL(109,AI6:AI39)</f>
        <v>103</v>
      </c>
      <c r="AJ46" s="63">
        <f t="shared" ref="AJ46" si="29">SUBTOTAL(109,AJ6:AJ39)</f>
        <v>19</v>
      </c>
      <c r="AK46" s="64">
        <f>SUBTOTAL(109,AK6:AK39)</f>
        <v>122</v>
      </c>
    </row>
    <row r="47" spans="2:37" ht="21" customHeight="1" thickBot="1">
      <c r="B47" s="65" t="s">
        <v>102</v>
      </c>
      <c r="C47" s="65">
        <f>COUNTA(C12,C15,C18,C21,C24,C27,C30,C33,C36,C39,C42,C45)</f>
        <v>6</v>
      </c>
      <c r="D47" s="65">
        <f t="shared" ref="D47:AG47" si="30">COUNTA(D12,D15,D18,D21,D24,D27,D30,D33,D36,D39,D42,D45)</f>
        <v>3</v>
      </c>
      <c r="E47" s="65">
        <f t="shared" si="30"/>
        <v>6</v>
      </c>
      <c r="F47" s="65">
        <f t="shared" si="30"/>
        <v>3</v>
      </c>
      <c r="G47" s="65">
        <f t="shared" si="30"/>
        <v>4</v>
      </c>
      <c r="H47" s="65">
        <f t="shared" si="30"/>
        <v>7</v>
      </c>
      <c r="I47" s="65">
        <f t="shared" si="30"/>
        <v>5</v>
      </c>
      <c r="J47" s="65">
        <f t="shared" si="30"/>
        <v>5</v>
      </c>
      <c r="K47" s="65">
        <f t="shared" si="30"/>
        <v>4</v>
      </c>
      <c r="L47" s="65">
        <f t="shared" si="30"/>
        <v>3</v>
      </c>
      <c r="M47" s="65">
        <f t="shared" si="30"/>
        <v>3</v>
      </c>
      <c r="N47" s="65">
        <f t="shared" si="30"/>
        <v>3</v>
      </c>
      <c r="O47" s="65">
        <f t="shared" si="30"/>
        <v>4</v>
      </c>
      <c r="P47" s="65">
        <f t="shared" si="30"/>
        <v>4</v>
      </c>
      <c r="Q47" s="65">
        <f t="shared" si="30"/>
        <v>5</v>
      </c>
      <c r="R47" s="65">
        <f t="shared" si="30"/>
        <v>4</v>
      </c>
      <c r="S47" s="65">
        <f t="shared" si="30"/>
        <v>4</v>
      </c>
      <c r="T47" s="65">
        <f t="shared" si="30"/>
        <v>4</v>
      </c>
      <c r="U47" s="65">
        <f t="shared" si="30"/>
        <v>3</v>
      </c>
      <c r="V47" s="65">
        <f t="shared" si="30"/>
        <v>4</v>
      </c>
      <c r="W47" s="65">
        <f t="shared" si="30"/>
        <v>4</v>
      </c>
      <c r="X47" s="65">
        <f t="shared" si="30"/>
        <v>4</v>
      </c>
      <c r="Y47" s="65">
        <f t="shared" si="30"/>
        <v>3</v>
      </c>
      <c r="Z47" s="65">
        <f t="shared" si="30"/>
        <v>3</v>
      </c>
      <c r="AA47" s="65">
        <f t="shared" si="30"/>
        <v>4</v>
      </c>
      <c r="AB47" s="65">
        <f t="shared" si="30"/>
        <v>3</v>
      </c>
      <c r="AC47" s="65">
        <f t="shared" si="30"/>
        <v>4</v>
      </c>
      <c r="AD47" s="65">
        <f t="shared" si="30"/>
        <v>4</v>
      </c>
      <c r="AE47" s="65">
        <f t="shared" si="30"/>
        <v>3</v>
      </c>
      <c r="AF47" s="65">
        <f t="shared" si="30"/>
        <v>3</v>
      </c>
      <c r="AG47" s="65">
        <f t="shared" si="30"/>
        <v>3</v>
      </c>
      <c r="AI47" s="62">
        <f>SUBTOTAL(109,AI12:AI45)</f>
        <v>104</v>
      </c>
      <c r="AJ47" s="63">
        <f>SUBTOTAL(109,AJ12:AJ45)</f>
        <v>18</v>
      </c>
      <c r="AK47" s="64">
        <f>SUBTOTAL(109,AK12:AK45)</f>
        <v>122</v>
      </c>
    </row>
    <row r="49" spans="35:37" ht="18.75" customHeight="1">
      <c r="AI49" s="66" t="s">
        <v>103</v>
      </c>
      <c r="AJ49" s="67"/>
      <c r="AK49" s="68">
        <f>DATEDIF($AI$1,$AJ$1+1,"d")-AK46</f>
        <v>244</v>
      </c>
    </row>
    <row r="50" spans="35:37" ht="18.75" customHeight="1">
      <c r="AI50" s="66" t="s">
        <v>95</v>
      </c>
      <c r="AJ50" s="67"/>
      <c r="AK50" s="68">
        <f>DATEDIF($AI$2,$AJ$2+1,"d")-AK47</f>
        <v>243</v>
      </c>
    </row>
  </sheetData>
  <mergeCells count="57">
    <mergeCell ref="B40:B42"/>
    <mergeCell ref="AI40:AI41"/>
    <mergeCell ref="AJ40:AJ41"/>
    <mergeCell ref="AK40:AK41"/>
    <mergeCell ref="B43:B45"/>
    <mergeCell ref="AI43:AI44"/>
    <mergeCell ref="AJ43:AJ44"/>
    <mergeCell ref="AK43:AK44"/>
    <mergeCell ref="B34:B36"/>
    <mergeCell ref="AI34:AI35"/>
    <mergeCell ref="AJ34:AJ35"/>
    <mergeCell ref="AK34:AK35"/>
    <mergeCell ref="B37:B39"/>
    <mergeCell ref="AI37:AI38"/>
    <mergeCell ref="AJ37:AJ38"/>
    <mergeCell ref="AK37:AK38"/>
    <mergeCell ref="B28:B30"/>
    <mergeCell ref="AI28:AI29"/>
    <mergeCell ref="AJ28:AJ29"/>
    <mergeCell ref="AK28:AK29"/>
    <mergeCell ref="B31:B33"/>
    <mergeCell ref="AI31:AI32"/>
    <mergeCell ref="AJ31:AJ32"/>
    <mergeCell ref="AK31:AK32"/>
    <mergeCell ref="B22:B24"/>
    <mergeCell ref="AI22:AI23"/>
    <mergeCell ref="AJ22:AJ23"/>
    <mergeCell ref="AK22:AK23"/>
    <mergeCell ref="B25:B27"/>
    <mergeCell ref="AI25:AI26"/>
    <mergeCell ref="AJ25:AJ26"/>
    <mergeCell ref="AK25:AK26"/>
    <mergeCell ref="B16:B18"/>
    <mergeCell ref="AI16:AI17"/>
    <mergeCell ref="AJ16:AJ17"/>
    <mergeCell ref="AK16:AK17"/>
    <mergeCell ref="B19:B21"/>
    <mergeCell ref="AI19:AI20"/>
    <mergeCell ref="AJ19:AJ20"/>
    <mergeCell ref="AK19:AK20"/>
    <mergeCell ref="B10:B12"/>
    <mergeCell ref="AI10:AI11"/>
    <mergeCell ref="AJ10:AJ11"/>
    <mergeCell ref="AK10:AK11"/>
    <mergeCell ref="B13:B15"/>
    <mergeCell ref="AI13:AI14"/>
    <mergeCell ref="AJ13:AJ14"/>
    <mergeCell ref="AK13:AK14"/>
    <mergeCell ref="B7:B9"/>
    <mergeCell ref="AI7:AI8"/>
    <mergeCell ref="AJ7:AJ8"/>
    <mergeCell ref="AK7:AK8"/>
    <mergeCell ref="C3:AG3"/>
    <mergeCell ref="B4:B6"/>
    <mergeCell ref="AI4:AI5"/>
    <mergeCell ref="AJ4:AJ5"/>
    <mergeCell ref="AK4:AK5"/>
  </mergeCells>
  <phoneticPr fontId="3" type="noConversion"/>
  <conditionalFormatting sqref="C32 F32:J32 M32:Q32 T32:X32 AA32:AE32">
    <cfRule type="expression" dxfId="32" priority="11">
      <formula>C$32="일"</formula>
    </cfRule>
    <cfRule type="expression" dxfId="31" priority="12">
      <formula>C$32="토"</formula>
    </cfRule>
  </conditionalFormatting>
  <conditionalFormatting sqref="C14:D14 G14:K14 N14:R14 U14:Y14 AB14:AG14">
    <cfRule type="expression" dxfId="30" priority="23">
      <formula>C$14="일"</formula>
    </cfRule>
    <cfRule type="expression" dxfId="29" priority="24">
      <formula>C$14="토"</formula>
    </cfRule>
  </conditionalFormatting>
  <conditionalFormatting sqref="C23:D23 G23:K23 N23:R23 U23:Y23 AB23:AF23">
    <cfRule type="expression" dxfId="28" priority="17">
      <formula>C$23="일"</formula>
    </cfRule>
    <cfRule type="expression" dxfId="27" priority="18">
      <formula>C$23="토"</formula>
    </cfRule>
  </conditionalFormatting>
  <conditionalFormatting sqref="C29:E29 H29:L29 O29:S29 V29:Z29 AC29:AG29">
    <cfRule type="expression" dxfId="26" priority="13">
      <formula>C$29="일"</formula>
    </cfRule>
    <cfRule type="expression" dxfId="25" priority="14">
      <formula>C$29="토"</formula>
    </cfRule>
  </conditionalFormatting>
  <conditionalFormatting sqref="C38:E38 H38:L38 O38:S38 V38:Z38 AC38:AG38">
    <cfRule type="expression" dxfId="24" priority="7">
      <formula>C$38="일"</formula>
    </cfRule>
    <cfRule type="expression" dxfId="23" priority="8">
      <formula>C$38="토"</formula>
    </cfRule>
  </conditionalFormatting>
  <conditionalFormatting sqref="C20:F20 I20:M20 P20:T20 W20:AA20 AD20:AG20">
    <cfRule type="expression" dxfId="22" priority="19">
      <formula>C$20="일"</formula>
    </cfRule>
    <cfRule type="expression" dxfId="21" priority="20">
      <formula>C$20="토"</formula>
    </cfRule>
  </conditionalFormatting>
  <conditionalFormatting sqref="C44:F44 I44:M44 P44:T44 W44:AA44 AD44:AG44">
    <cfRule type="expression" dxfId="20" priority="3">
      <formula>C$44="일"</formula>
    </cfRule>
    <cfRule type="expression" dxfId="19" priority="4">
      <formula>C$44="토"</formula>
    </cfRule>
  </conditionalFormatting>
  <conditionalFormatting sqref="C11:G11 J11:N11 Q11:U11 X11:AD11 AF11:AG11">
    <cfRule type="expression" dxfId="18" priority="25">
      <formula>C$11="일"</formula>
    </cfRule>
    <cfRule type="expression" dxfId="17" priority="26">
      <formula>C$11="토"</formula>
    </cfRule>
  </conditionalFormatting>
  <conditionalFormatting sqref="C35:G35 J35:N35 Q35:U35 X35:AB35 AE35:AG35">
    <cfRule type="expression" dxfId="16" priority="9">
      <formula>C$35="일"</formula>
    </cfRule>
    <cfRule type="expression" dxfId="15" priority="10">
      <formula>C$35="토"</formula>
    </cfRule>
  </conditionalFormatting>
  <conditionalFormatting sqref="D26:H26 K26:O26 R26:V26 Y26:AC26 AF26:AG26">
    <cfRule type="expression" dxfId="14" priority="15">
      <formula>D$26="일"</formula>
    </cfRule>
    <cfRule type="expression" dxfId="13" priority="16">
      <formula>D$26="토"</formula>
    </cfRule>
  </conditionalFormatting>
  <conditionalFormatting sqref="E17:I17 M17:P17 S17:W17 Z17:AD17 AG17">
    <cfRule type="expression" dxfId="12" priority="21">
      <formula>E$17="일"</formula>
    </cfRule>
    <cfRule type="expression" dxfId="11" priority="22">
      <formula>E$17="토"</formula>
    </cfRule>
  </conditionalFormatting>
  <conditionalFormatting sqref="E41:I41 L41:P41 S41:W41 Z41:AD41 AG41">
    <cfRule type="expression" dxfId="10" priority="5">
      <formula>E$41="일"</formula>
    </cfRule>
    <cfRule type="expression" dxfId="9" priority="6">
      <formula>E$41="토"</formula>
    </cfRule>
  </conditionalFormatting>
  <conditionalFormatting sqref="H5:J5">
    <cfRule type="expression" dxfId="8" priority="41">
      <formula>H$11="일"</formula>
    </cfRule>
    <cfRule type="expression" dxfId="7" priority="42">
      <formula>H$11="토"</formula>
    </cfRule>
  </conditionalFormatting>
  <conditionalFormatting sqref="O5:Q5">
    <cfRule type="expression" dxfId="6" priority="39">
      <formula>O$11="일"</formula>
    </cfRule>
    <cfRule type="expression" dxfId="5" priority="40">
      <formula>O$11="토"</formula>
    </cfRule>
  </conditionalFormatting>
  <conditionalFormatting sqref="V5:W5">
    <cfRule type="expression" dxfId="4" priority="1">
      <formula>V$11="일"</formula>
    </cfRule>
    <cfRule type="expression" dxfId="3" priority="2">
      <formula>V$11="토"</formula>
    </cfRule>
  </conditionalFormatting>
  <conditionalFormatting sqref="AC5:AE5">
    <cfRule type="expression" dxfId="2" priority="37">
      <formula>AC$11="일"</formula>
    </cfRule>
    <cfRule type="expression" dxfId="1" priority="38">
      <formula>AC$11="토"</formula>
    </cfRule>
  </conditionalFormatting>
  <pageMargins left="0.7" right="0.7" top="0.75" bottom="0.75" header="0.3" footer="0.3"/>
  <pageSetup paperSize="9" scale="64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30"/>
  <sheetViews>
    <sheetView topLeftCell="A6" workbookViewId="0">
      <selection activeCell="C21" sqref="C21"/>
    </sheetView>
  </sheetViews>
  <sheetFormatPr defaultRowHeight="16.5"/>
  <cols>
    <col min="1" max="1" width="5.625" customWidth="1"/>
    <col min="2" max="2" width="25.625" customWidth="1"/>
    <col min="3" max="3" width="71" customWidth="1"/>
  </cols>
  <sheetData>
    <row r="1" spans="1:3" ht="20.25">
      <c r="A1" s="208" t="s">
        <v>62</v>
      </c>
      <c r="B1" s="208"/>
      <c r="C1" s="208"/>
    </row>
    <row r="2" spans="1:3" ht="17.25" thickBot="1"/>
    <row r="3" spans="1:3" ht="30" customHeight="1" thickBot="1">
      <c r="A3" s="29" t="s">
        <v>61</v>
      </c>
      <c r="B3" s="28" t="s">
        <v>60</v>
      </c>
      <c r="C3" s="27" t="s">
        <v>59</v>
      </c>
    </row>
    <row r="4" spans="1:3" ht="30" customHeight="1">
      <c r="A4" s="26">
        <v>1</v>
      </c>
      <c r="B4" s="25" t="s">
        <v>58</v>
      </c>
      <c r="C4" s="24" t="s">
        <v>57</v>
      </c>
    </row>
    <row r="5" spans="1:3" ht="30" customHeight="1">
      <c r="A5" s="21">
        <v>2</v>
      </c>
      <c r="B5" s="20" t="s">
        <v>56</v>
      </c>
      <c r="C5" s="19" t="s">
        <v>55</v>
      </c>
    </row>
    <row r="6" spans="1:3" ht="30" customHeight="1">
      <c r="A6" s="21">
        <v>3</v>
      </c>
      <c r="B6" s="20" t="s">
        <v>54</v>
      </c>
      <c r="C6" s="19" t="s">
        <v>53</v>
      </c>
    </row>
    <row r="7" spans="1:3" ht="30" customHeight="1">
      <c r="A7" s="21">
        <v>4</v>
      </c>
      <c r="B7" s="20" t="s">
        <v>63</v>
      </c>
      <c r="C7" s="19"/>
    </row>
    <row r="8" spans="1:3" ht="30" customHeight="1">
      <c r="A8" s="21">
        <v>5</v>
      </c>
      <c r="B8" s="20" t="s">
        <v>52</v>
      </c>
      <c r="C8" s="19"/>
    </row>
    <row r="9" spans="1:3" ht="30" customHeight="1">
      <c r="A9" s="21">
        <v>6</v>
      </c>
      <c r="B9" s="20" t="s">
        <v>26</v>
      </c>
      <c r="C9" s="19" t="s">
        <v>51</v>
      </c>
    </row>
    <row r="10" spans="1:3" ht="30" customHeight="1">
      <c r="A10" s="21">
        <v>7</v>
      </c>
      <c r="B10" s="20" t="s">
        <v>50</v>
      </c>
      <c r="C10" s="19" t="s">
        <v>49</v>
      </c>
    </row>
    <row r="11" spans="1:3" ht="30" customHeight="1">
      <c r="A11" s="21">
        <v>8</v>
      </c>
      <c r="B11" s="20" t="s">
        <v>27</v>
      </c>
      <c r="C11" s="19" t="s">
        <v>48</v>
      </c>
    </row>
    <row r="12" spans="1:3" ht="30" customHeight="1">
      <c r="A12" s="21">
        <v>9</v>
      </c>
      <c r="B12" s="20" t="s">
        <v>47</v>
      </c>
      <c r="C12" s="19" t="s">
        <v>46</v>
      </c>
    </row>
    <row r="13" spans="1:3" ht="30" customHeight="1">
      <c r="A13" s="21">
        <v>10</v>
      </c>
      <c r="B13" s="20" t="s">
        <v>11</v>
      </c>
      <c r="C13" s="23" t="s">
        <v>45</v>
      </c>
    </row>
    <row r="14" spans="1:3" ht="30" customHeight="1">
      <c r="A14" s="21">
        <v>11</v>
      </c>
      <c r="B14" s="22" t="s">
        <v>44</v>
      </c>
      <c r="C14" s="19" t="s">
        <v>43</v>
      </c>
    </row>
    <row r="15" spans="1:3" ht="30" customHeight="1">
      <c r="A15" s="21">
        <v>12</v>
      </c>
      <c r="B15" s="22" t="s">
        <v>42</v>
      </c>
      <c r="C15" s="19"/>
    </row>
    <row r="16" spans="1:3" ht="30" customHeight="1">
      <c r="A16" s="21">
        <v>13</v>
      </c>
      <c r="B16" s="22" t="s">
        <v>41</v>
      </c>
      <c r="C16" s="19"/>
    </row>
    <row r="17" spans="1:3" ht="30" customHeight="1">
      <c r="A17" s="21">
        <v>14</v>
      </c>
      <c r="B17" s="22" t="s">
        <v>40</v>
      </c>
      <c r="C17" s="19"/>
    </row>
    <row r="18" spans="1:3" ht="30" customHeight="1">
      <c r="A18" s="21">
        <v>15</v>
      </c>
      <c r="B18" s="22" t="s">
        <v>39</v>
      </c>
      <c r="C18" s="19"/>
    </row>
    <row r="19" spans="1:3" ht="30" customHeight="1">
      <c r="A19" s="21">
        <v>16</v>
      </c>
      <c r="B19" s="22" t="s">
        <v>38</v>
      </c>
      <c r="C19" s="19"/>
    </row>
    <row r="20" spans="1:3" ht="30" customHeight="1">
      <c r="A20" s="21">
        <v>17</v>
      </c>
      <c r="B20" s="22" t="s">
        <v>37</v>
      </c>
      <c r="C20" s="19"/>
    </row>
    <row r="21" spans="1:3" ht="30" customHeight="1">
      <c r="A21" s="21">
        <v>18</v>
      </c>
      <c r="B21" s="22" t="s">
        <v>36</v>
      </c>
      <c r="C21" s="19"/>
    </row>
    <row r="22" spans="1:3" ht="30" customHeight="1">
      <c r="A22" s="21">
        <v>19</v>
      </c>
      <c r="B22" s="22" t="s">
        <v>35</v>
      </c>
      <c r="C22" s="19"/>
    </row>
    <row r="23" spans="1:3" ht="30" customHeight="1">
      <c r="A23" s="21">
        <v>20</v>
      </c>
      <c r="B23" s="22" t="s">
        <v>34</v>
      </c>
      <c r="C23" s="19"/>
    </row>
    <row r="24" spans="1:3" ht="30" customHeight="1">
      <c r="A24" s="21">
        <v>21</v>
      </c>
      <c r="B24" s="22" t="s">
        <v>33</v>
      </c>
      <c r="C24" s="19"/>
    </row>
    <row r="25" spans="1:3" ht="30" customHeight="1">
      <c r="A25" s="21">
        <v>25</v>
      </c>
      <c r="B25" s="20" t="s">
        <v>32</v>
      </c>
      <c r="C25" s="19" t="s">
        <v>31</v>
      </c>
    </row>
    <row r="27" spans="1:3">
      <c r="B27" s="17"/>
    </row>
    <row r="28" spans="1:3">
      <c r="B28" s="18" t="s">
        <v>30</v>
      </c>
    </row>
    <row r="29" spans="1:3">
      <c r="A29">
        <v>1</v>
      </c>
      <c r="B29" s="17" t="s">
        <v>29</v>
      </c>
    </row>
    <row r="30" spans="1:3">
      <c r="A30">
        <v>2</v>
      </c>
      <c r="B30" s="17" t="s">
        <v>28</v>
      </c>
    </row>
  </sheetData>
  <mergeCells count="1">
    <mergeCell ref="A1:C1"/>
  </mergeCells>
  <phoneticPr fontId="3" type="noConversion"/>
  <conditionalFormatting sqref="B4:B25">
    <cfRule type="duplicateValues" dxfId="0" priority="1"/>
  </conditionalFormatting>
  <pageMargins left="0.7" right="0.7" top="0.75" bottom="0.75" header="0.3" footer="0.3"/>
  <pageSetup paperSize="9" scale="7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4"/>
  <sheetViews>
    <sheetView workbookViewId="0">
      <selection activeCell="C21" sqref="C21"/>
    </sheetView>
  </sheetViews>
  <sheetFormatPr defaultRowHeight="16.5"/>
  <cols>
    <col min="2" max="2" width="10.75" customWidth="1"/>
    <col min="11" max="13" width="9" customWidth="1"/>
  </cols>
  <sheetData>
    <row r="1" spans="1:15" ht="17.25" thickBot="1">
      <c r="K1" t="s">
        <v>16</v>
      </c>
      <c r="N1" t="s">
        <v>16</v>
      </c>
    </row>
    <row r="2" spans="1:15" ht="24">
      <c r="A2" s="1" t="s">
        <v>12</v>
      </c>
      <c r="B2" s="1" t="s">
        <v>13</v>
      </c>
      <c r="C2" t="s">
        <v>72</v>
      </c>
      <c r="H2" s="1" t="s">
        <v>12</v>
      </c>
      <c r="I2" s="1" t="s">
        <v>13</v>
      </c>
      <c r="K2" s="6" t="s">
        <v>14</v>
      </c>
      <c r="L2" s="7" t="s">
        <v>15</v>
      </c>
      <c r="N2" s="1" t="s">
        <v>14</v>
      </c>
      <c r="O2" s="1" t="s">
        <v>15</v>
      </c>
    </row>
    <row r="3" spans="1:15">
      <c r="A3" s="2">
        <v>1</v>
      </c>
      <c r="B3" s="3">
        <v>15</v>
      </c>
      <c r="C3">
        <v>0</v>
      </c>
      <c r="H3" s="2">
        <v>1</v>
      </c>
      <c r="I3" s="3">
        <v>15</v>
      </c>
      <c r="K3" s="8">
        <v>2</v>
      </c>
      <c r="L3" s="9">
        <v>1</v>
      </c>
      <c r="N3" s="14">
        <v>0</v>
      </c>
      <c r="O3" s="14">
        <v>0</v>
      </c>
    </row>
    <row r="4" spans="1:15">
      <c r="A4" s="2">
        <v>2</v>
      </c>
      <c r="B4" s="3">
        <v>15</v>
      </c>
      <c r="C4">
        <v>0</v>
      </c>
      <c r="H4" s="2">
        <v>2</v>
      </c>
      <c r="I4" s="3">
        <v>15</v>
      </c>
      <c r="K4" s="8">
        <v>4</v>
      </c>
      <c r="L4" s="9">
        <v>2</v>
      </c>
      <c r="N4" s="14">
        <v>1</v>
      </c>
      <c r="O4" s="14">
        <v>0</v>
      </c>
    </row>
    <row r="5" spans="1:15">
      <c r="A5" s="2">
        <v>3</v>
      </c>
      <c r="B5" s="3">
        <v>16</v>
      </c>
      <c r="C5">
        <v>1</v>
      </c>
      <c r="H5" s="2">
        <v>3</v>
      </c>
      <c r="I5" s="3">
        <v>16</v>
      </c>
      <c r="K5" s="8">
        <v>6</v>
      </c>
      <c r="L5" s="9">
        <v>3</v>
      </c>
      <c r="N5" s="14">
        <v>2</v>
      </c>
      <c r="O5" s="14">
        <v>1</v>
      </c>
    </row>
    <row r="6" spans="1:15">
      <c r="A6" s="4">
        <v>4</v>
      </c>
      <c r="B6" s="5">
        <v>16</v>
      </c>
      <c r="C6">
        <v>1</v>
      </c>
      <c r="H6" s="4">
        <v>4</v>
      </c>
      <c r="I6" s="5">
        <v>16</v>
      </c>
      <c r="K6" s="10">
        <v>8</v>
      </c>
      <c r="L6" s="11">
        <v>4</v>
      </c>
      <c r="N6" s="14">
        <v>3</v>
      </c>
      <c r="O6" s="14">
        <v>1</v>
      </c>
    </row>
    <row r="7" spans="1:15">
      <c r="A7" s="4">
        <v>5</v>
      </c>
      <c r="B7" s="5">
        <v>17</v>
      </c>
      <c r="C7">
        <v>2</v>
      </c>
      <c r="H7" s="4">
        <v>5</v>
      </c>
      <c r="I7" s="5">
        <v>17</v>
      </c>
      <c r="K7" s="10">
        <v>10</v>
      </c>
      <c r="L7" s="11">
        <v>5</v>
      </c>
      <c r="N7" s="14">
        <v>4</v>
      </c>
      <c r="O7" s="14">
        <v>2</v>
      </c>
    </row>
    <row r="8" spans="1:15">
      <c r="A8" s="4">
        <v>6</v>
      </c>
      <c r="B8" s="5">
        <v>17</v>
      </c>
      <c r="C8">
        <v>2</v>
      </c>
      <c r="H8" s="4">
        <v>6</v>
      </c>
      <c r="I8" s="5">
        <v>17</v>
      </c>
      <c r="K8" s="10">
        <v>12</v>
      </c>
      <c r="L8" s="11">
        <v>6</v>
      </c>
      <c r="N8" s="14">
        <v>5</v>
      </c>
      <c r="O8" s="14">
        <v>2</v>
      </c>
    </row>
    <row r="9" spans="1:15">
      <c r="A9" s="4">
        <v>7</v>
      </c>
      <c r="B9" s="5">
        <v>18</v>
      </c>
      <c r="C9">
        <v>3</v>
      </c>
      <c r="H9" s="4">
        <v>7</v>
      </c>
      <c r="I9" s="5">
        <v>18</v>
      </c>
      <c r="K9" s="10">
        <v>14</v>
      </c>
      <c r="L9" s="11">
        <v>7</v>
      </c>
      <c r="N9" s="14">
        <v>6</v>
      </c>
      <c r="O9" s="14">
        <v>3</v>
      </c>
    </row>
    <row r="10" spans="1:15">
      <c r="A10" s="4">
        <v>8</v>
      </c>
      <c r="B10" s="5">
        <v>18</v>
      </c>
      <c r="C10">
        <v>3</v>
      </c>
      <c r="H10" s="4">
        <v>8</v>
      </c>
      <c r="I10" s="5">
        <v>18</v>
      </c>
      <c r="K10" s="10">
        <v>16</v>
      </c>
      <c r="L10" s="11">
        <v>8</v>
      </c>
      <c r="N10" s="14">
        <v>7</v>
      </c>
      <c r="O10" s="14">
        <v>3</v>
      </c>
    </row>
    <row r="11" spans="1:15">
      <c r="A11" s="2">
        <v>9</v>
      </c>
      <c r="B11" s="3">
        <v>19</v>
      </c>
      <c r="C11">
        <v>4</v>
      </c>
      <c r="H11" s="2">
        <v>9</v>
      </c>
      <c r="I11" s="3">
        <v>19</v>
      </c>
      <c r="K11" s="8">
        <v>18</v>
      </c>
      <c r="L11" s="9">
        <v>9</v>
      </c>
      <c r="N11" s="14">
        <v>8</v>
      </c>
      <c r="O11" s="14">
        <v>4</v>
      </c>
    </row>
    <row r="12" spans="1:15" ht="17.25" thickBot="1">
      <c r="A12" s="2">
        <v>10</v>
      </c>
      <c r="B12" s="3">
        <v>19</v>
      </c>
      <c r="C12">
        <v>4</v>
      </c>
      <c r="H12" s="2">
        <v>10</v>
      </c>
      <c r="I12" s="3">
        <v>19</v>
      </c>
      <c r="K12" s="12">
        <v>20</v>
      </c>
      <c r="L12" s="13">
        <v>10</v>
      </c>
      <c r="N12" s="14">
        <v>9</v>
      </c>
      <c r="O12" s="14">
        <v>4</v>
      </c>
    </row>
    <row r="13" spans="1:15">
      <c r="A13" s="2">
        <v>11</v>
      </c>
      <c r="B13" s="3">
        <v>20</v>
      </c>
      <c r="C13">
        <v>5</v>
      </c>
      <c r="H13" s="2">
        <v>11</v>
      </c>
      <c r="I13" s="3">
        <v>20</v>
      </c>
      <c r="N13" s="14">
        <v>10</v>
      </c>
      <c r="O13" s="14">
        <v>5</v>
      </c>
    </row>
    <row r="14" spans="1:15">
      <c r="A14" s="2">
        <v>12</v>
      </c>
      <c r="B14" s="3">
        <v>20</v>
      </c>
      <c r="C14">
        <v>5</v>
      </c>
      <c r="H14" s="2">
        <v>12</v>
      </c>
      <c r="I14" s="3">
        <v>20</v>
      </c>
      <c r="N14" s="14">
        <v>11</v>
      </c>
      <c r="O14" s="14">
        <v>5</v>
      </c>
    </row>
    <row r="15" spans="1:15">
      <c r="A15" s="2">
        <v>13</v>
      </c>
      <c r="B15" s="3">
        <v>21</v>
      </c>
      <c r="C15">
        <v>6</v>
      </c>
      <c r="H15" s="2">
        <v>13</v>
      </c>
      <c r="I15" s="3">
        <v>21</v>
      </c>
      <c r="N15" s="14">
        <v>12</v>
      </c>
      <c r="O15" s="14">
        <v>6</v>
      </c>
    </row>
    <row r="16" spans="1:15">
      <c r="A16" s="2">
        <v>14</v>
      </c>
      <c r="B16" s="3">
        <v>21</v>
      </c>
      <c r="C16">
        <v>6</v>
      </c>
      <c r="H16" s="2">
        <v>14</v>
      </c>
      <c r="I16" s="3">
        <v>21</v>
      </c>
      <c r="N16" s="14">
        <v>13</v>
      </c>
      <c r="O16" s="14">
        <v>6</v>
      </c>
    </row>
    <row r="17" spans="1:15">
      <c r="A17" s="2">
        <v>15</v>
      </c>
      <c r="B17" s="3">
        <v>22</v>
      </c>
      <c r="C17">
        <v>7</v>
      </c>
      <c r="H17" s="2">
        <v>15</v>
      </c>
      <c r="I17" s="3">
        <v>22</v>
      </c>
      <c r="N17" s="14">
        <v>14</v>
      </c>
      <c r="O17" s="14">
        <v>7</v>
      </c>
    </row>
    <row r="18" spans="1:15">
      <c r="A18" s="2">
        <v>16</v>
      </c>
      <c r="B18" s="3">
        <v>22</v>
      </c>
      <c r="C18">
        <v>7</v>
      </c>
      <c r="H18" s="2">
        <v>16</v>
      </c>
      <c r="I18" s="3">
        <v>22</v>
      </c>
      <c r="N18" s="14">
        <v>15</v>
      </c>
      <c r="O18" s="14">
        <v>7</v>
      </c>
    </row>
    <row r="19" spans="1:15">
      <c r="A19" s="2">
        <v>17</v>
      </c>
      <c r="B19" s="3">
        <v>23</v>
      </c>
      <c r="C19">
        <v>8</v>
      </c>
      <c r="H19" s="2">
        <v>17</v>
      </c>
      <c r="I19" s="3">
        <v>23</v>
      </c>
      <c r="N19" s="14">
        <v>16</v>
      </c>
      <c r="O19" s="14">
        <v>8</v>
      </c>
    </row>
    <row r="20" spans="1:15">
      <c r="A20" s="2">
        <v>18</v>
      </c>
      <c r="B20" s="3">
        <v>23</v>
      </c>
      <c r="C20">
        <v>8</v>
      </c>
      <c r="H20" s="2">
        <v>18</v>
      </c>
      <c r="I20" s="3">
        <v>23</v>
      </c>
      <c r="N20" s="14">
        <v>17</v>
      </c>
      <c r="O20" s="14">
        <v>8</v>
      </c>
    </row>
    <row r="21" spans="1:15">
      <c r="A21" s="2">
        <v>19</v>
      </c>
      <c r="B21" s="3">
        <v>24</v>
      </c>
      <c r="C21">
        <v>9</v>
      </c>
      <c r="H21" s="2">
        <v>19</v>
      </c>
      <c r="I21" s="3">
        <v>24</v>
      </c>
      <c r="N21" s="14">
        <v>18</v>
      </c>
      <c r="O21" s="14">
        <v>9</v>
      </c>
    </row>
    <row r="22" spans="1:15">
      <c r="A22" s="2">
        <v>20</v>
      </c>
      <c r="B22" s="3">
        <v>24</v>
      </c>
      <c r="C22">
        <v>9</v>
      </c>
      <c r="H22" s="2">
        <v>20</v>
      </c>
      <c r="I22" s="3">
        <v>24</v>
      </c>
      <c r="N22" s="14">
        <v>19</v>
      </c>
      <c r="O22" s="14">
        <v>9</v>
      </c>
    </row>
    <row r="23" spans="1:15">
      <c r="A23" s="2">
        <v>21</v>
      </c>
      <c r="B23" s="3">
        <v>25</v>
      </c>
      <c r="C23">
        <v>10</v>
      </c>
      <c r="H23" s="2">
        <v>21</v>
      </c>
      <c r="I23" s="3">
        <v>25</v>
      </c>
      <c r="N23" s="14">
        <v>20</v>
      </c>
      <c r="O23" s="14">
        <v>10</v>
      </c>
    </row>
    <row r="24" spans="1:15">
      <c r="A24" s="2">
        <v>22</v>
      </c>
      <c r="B24" s="3">
        <v>25</v>
      </c>
      <c r="C24">
        <v>10</v>
      </c>
      <c r="H24" s="2">
        <v>22</v>
      </c>
      <c r="I24" s="3">
        <v>25</v>
      </c>
    </row>
    <row r="25" spans="1:15">
      <c r="A25" s="2">
        <v>23</v>
      </c>
      <c r="B25" s="3">
        <v>25</v>
      </c>
      <c r="C25">
        <v>10</v>
      </c>
      <c r="H25" s="2">
        <v>23</v>
      </c>
      <c r="I25" s="3">
        <v>25</v>
      </c>
    </row>
    <row r="26" spans="1:15">
      <c r="A26" s="2">
        <v>24</v>
      </c>
      <c r="B26" s="3">
        <v>25</v>
      </c>
      <c r="C26">
        <v>10</v>
      </c>
      <c r="H26" s="2">
        <v>24</v>
      </c>
      <c r="I26" s="3">
        <v>25</v>
      </c>
    </row>
    <row r="27" spans="1:15">
      <c r="A27" s="2">
        <v>25</v>
      </c>
      <c r="B27" s="3">
        <v>25</v>
      </c>
      <c r="C27">
        <v>10</v>
      </c>
      <c r="H27" s="2">
        <v>25</v>
      </c>
      <c r="I27" s="3">
        <v>25</v>
      </c>
    </row>
    <row r="28" spans="1:15">
      <c r="A28" s="2">
        <v>26</v>
      </c>
      <c r="B28" s="3">
        <v>25</v>
      </c>
      <c r="C28">
        <v>10</v>
      </c>
      <c r="H28" s="2">
        <v>26</v>
      </c>
      <c r="I28" s="3">
        <v>25</v>
      </c>
    </row>
    <row r="29" spans="1:15">
      <c r="A29" s="2">
        <v>27</v>
      </c>
      <c r="B29" s="3">
        <v>25</v>
      </c>
      <c r="C29">
        <v>10</v>
      </c>
      <c r="H29" s="2">
        <v>27</v>
      </c>
      <c r="I29" s="3">
        <v>25</v>
      </c>
    </row>
    <row r="30" spans="1:15">
      <c r="A30" s="106">
        <v>28</v>
      </c>
      <c r="B30" s="107">
        <v>25</v>
      </c>
      <c r="C30">
        <v>10</v>
      </c>
      <c r="H30" s="2">
        <v>28</v>
      </c>
      <c r="I30" s="3">
        <v>25</v>
      </c>
    </row>
    <row r="31" spans="1:15">
      <c r="A31" s="2">
        <v>29</v>
      </c>
      <c r="B31" s="108">
        <v>25</v>
      </c>
      <c r="C31" s="14">
        <v>10</v>
      </c>
    </row>
    <row r="32" spans="1:15">
      <c r="A32" s="2">
        <v>30</v>
      </c>
      <c r="B32" s="108">
        <v>25</v>
      </c>
      <c r="C32" s="14">
        <v>10</v>
      </c>
    </row>
    <row r="33" spans="1:3">
      <c r="A33" s="2">
        <v>31</v>
      </c>
      <c r="B33" s="108">
        <v>25</v>
      </c>
      <c r="C33" s="14">
        <v>10</v>
      </c>
    </row>
    <row r="34" spans="1:3">
      <c r="A34" s="2">
        <v>32</v>
      </c>
      <c r="B34" s="108">
        <v>25</v>
      </c>
      <c r="C34" s="14">
        <v>10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workbookViewId="0">
      <selection activeCell="C21" sqref="C21"/>
    </sheetView>
  </sheetViews>
  <sheetFormatPr defaultRowHeight="16.5"/>
  <sheetData>
    <row r="1" spans="1:2" ht="17.25" thickBot="1"/>
    <row r="2" spans="1:2">
      <c r="A2" s="104" t="s">
        <v>12</v>
      </c>
      <c r="B2" s="105" t="s">
        <v>13</v>
      </c>
    </row>
    <row r="3" spans="1:2">
      <c r="A3" s="101">
        <v>1</v>
      </c>
      <c r="B3" s="102">
        <v>41000</v>
      </c>
    </row>
    <row r="4" spans="1:2">
      <c r="A4" s="101">
        <v>2</v>
      </c>
      <c r="B4" s="102">
        <f>41000*A4</f>
        <v>82000</v>
      </c>
    </row>
    <row r="5" spans="1:2">
      <c r="A5" s="101">
        <v>3</v>
      </c>
      <c r="B5" s="102">
        <f t="shared" ref="B5:B29" si="0">41000*A5</f>
        <v>123000</v>
      </c>
    </row>
    <row r="6" spans="1:2">
      <c r="A6" s="101">
        <v>4</v>
      </c>
      <c r="B6" s="102">
        <f t="shared" si="0"/>
        <v>164000</v>
      </c>
    </row>
    <row r="7" spans="1:2">
      <c r="A7" s="101">
        <v>5</v>
      </c>
      <c r="B7" s="102">
        <f t="shared" si="0"/>
        <v>205000</v>
      </c>
    </row>
    <row r="8" spans="1:2">
      <c r="A8" s="101">
        <v>6</v>
      </c>
      <c r="B8" s="102">
        <f t="shared" si="0"/>
        <v>246000</v>
      </c>
    </row>
    <row r="9" spans="1:2">
      <c r="A9" s="101">
        <v>7</v>
      </c>
      <c r="B9" s="102">
        <f t="shared" si="0"/>
        <v>287000</v>
      </c>
    </row>
    <row r="10" spans="1:2">
      <c r="A10" s="101">
        <v>8</v>
      </c>
      <c r="B10" s="102">
        <f t="shared" si="0"/>
        <v>328000</v>
      </c>
    </row>
    <row r="11" spans="1:2">
      <c r="A11" s="101">
        <v>9</v>
      </c>
      <c r="B11" s="102">
        <f t="shared" si="0"/>
        <v>369000</v>
      </c>
    </row>
    <row r="12" spans="1:2">
      <c r="A12" s="101">
        <v>10</v>
      </c>
      <c r="B12" s="102">
        <f t="shared" si="0"/>
        <v>410000</v>
      </c>
    </row>
    <row r="13" spans="1:2">
      <c r="A13" s="101">
        <v>11</v>
      </c>
      <c r="B13" s="102">
        <f t="shared" si="0"/>
        <v>451000</v>
      </c>
    </row>
    <row r="14" spans="1:2">
      <c r="A14" s="101">
        <v>12</v>
      </c>
      <c r="B14" s="102">
        <f t="shared" si="0"/>
        <v>492000</v>
      </c>
    </row>
    <row r="15" spans="1:2">
      <c r="A15" s="101">
        <v>13</v>
      </c>
      <c r="B15" s="102">
        <f t="shared" si="0"/>
        <v>533000</v>
      </c>
    </row>
    <row r="16" spans="1:2">
      <c r="A16" s="101">
        <v>14</v>
      </c>
      <c r="B16" s="102">
        <f t="shared" si="0"/>
        <v>574000</v>
      </c>
    </row>
    <row r="17" spans="1:2">
      <c r="A17" s="101">
        <v>15</v>
      </c>
      <c r="B17" s="102">
        <f t="shared" si="0"/>
        <v>615000</v>
      </c>
    </row>
    <row r="18" spans="1:2">
      <c r="A18" s="101">
        <v>16</v>
      </c>
      <c r="B18" s="102">
        <f t="shared" si="0"/>
        <v>656000</v>
      </c>
    </row>
    <row r="19" spans="1:2">
      <c r="A19" s="101">
        <v>17</v>
      </c>
      <c r="B19" s="102">
        <f t="shared" si="0"/>
        <v>697000</v>
      </c>
    </row>
    <row r="20" spans="1:2">
      <c r="A20" s="101">
        <v>18</v>
      </c>
      <c r="B20" s="102">
        <f t="shared" si="0"/>
        <v>738000</v>
      </c>
    </row>
    <row r="21" spans="1:2">
      <c r="A21" s="101">
        <v>19</v>
      </c>
      <c r="B21" s="102">
        <f t="shared" si="0"/>
        <v>779000</v>
      </c>
    </row>
    <row r="22" spans="1:2">
      <c r="A22" s="101">
        <v>20</v>
      </c>
      <c r="B22" s="102">
        <f t="shared" si="0"/>
        <v>820000</v>
      </c>
    </row>
    <row r="23" spans="1:2">
      <c r="A23" s="101">
        <v>21</v>
      </c>
      <c r="B23" s="102">
        <f t="shared" si="0"/>
        <v>861000</v>
      </c>
    </row>
    <row r="24" spans="1:2">
      <c r="A24" s="109">
        <v>22</v>
      </c>
      <c r="B24" s="102">
        <f t="shared" si="0"/>
        <v>902000</v>
      </c>
    </row>
    <row r="25" spans="1:2">
      <c r="A25" s="109">
        <v>23</v>
      </c>
      <c r="B25" s="102">
        <f t="shared" si="0"/>
        <v>943000</v>
      </c>
    </row>
    <row r="26" spans="1:2">
      <c r="A26" s="109">
        <v>24</v>
      </c>
      <c r="B26" s="102">
        <f t="shared" si="0"/>
        <v>984000</v>
      </c>
    </row>
    <row r="27" spans="1:2">
      <c r="A27" s="109">
        <v>25</v>
      </c>
      <c r="B27" s="102">
        <f t="shared" si="0"/>
        <v>1025000</v>
      </c>
    </row>
    <row r="28" spans="1:2">
      <c r="A28" s="109">
        <v>26</v>
      </c>
      <c r="B28" s="102">
        <f t="shared" si="0"/>
        <v>1066000</v>
      </c>
    </row>
    <row r="29" spans="1:2" ht="17.25" thickBot="1">
      <c r="A29" s="110">
        <v>27</v>
      </c>
      <c r="B29" s="103">
        <f t="shared" si="0"/>
        <v>1107000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연차유급휴가 일수 산출내역</vt:lpstr>
      <vt:lpstr>달력</vt:lpstr>
      <vt:lpstr>직종표</vt:lpstr>
      <vt:lpstr>참조</vt:lpstr>
      <vt:lpstr>근속수당</vt:lpstr>
      <vt:lpstr>달력!입력범위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dcterms:created xsi:type="dcterms:W3CDTF">2020-02-10T04:35:37Z</dcterms:created>
  <dcterms:modified xsi:type="dcterms:W3CDTF">2026-09-04T01:49:08Z</dcterms:modified>
</cp:coreProperties>
</file>